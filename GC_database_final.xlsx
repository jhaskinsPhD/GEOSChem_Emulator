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be239a439bc7664/Desktop/"/>
    </mc:Choice>
  </mc:AlternateContent>
  <xr:revisionPtr revIDLastSave="0" documentId="8_{1A559F19-F387-4D39-BC59-37ACE7276C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0" i="2" l="1"/>
  <c r="E282" i="2"/>
  <c r="E7" i="2"/>
  <c r="E8" i="2"/>
  <c r="E66" i="2"/>
  <c r="E221" i="2"/>
  <c r="E283" i="2"/>
  <c r="E98" i="2"/>
  <c r="E251" i="2"/>
  <c r="E252" i="2"/>
  <c r="E284" i="2"/>
  <c r="E14" i="2"/>
  <c r="E220" i="2"/>
  <c r="E275" i="2"/>
  <c r="E276" i="2"/>
  <c r="E286" i="2"/>
  <c r="E229" i="2"/>
  <c r="E287" i="2"/>
  <c r="E230" i="2"/>
  <c r="E247" i="2"/>
  <c r="E248" i="2"/>
  <c r="E41" i="2"/>
  <c r="E107" i="2"/>
  <c r="E242" i="2"/>
  <c r="E270" i="2"/>
  <c r="E279" i="2"/>
  <c r="E84" i="2"/>
  <c r="E76" i="2"/>
  <c r="E50" i="2"/>
  <c r="E49" i="2"/>
  <c r="E92" i="2"/>
  <c r="E95" i="2"/>
  <c r="E148" i="2"/>
  <c r="E341" i="2"/>
  <c r="E72" i="2"/>
  <c r="E80" i="2"/>
  <c r="E85" i="2"/>
  <c r="E187" i="2"/>
  <c r="E180" i="2"/>
  <c r="E178" i="2"/>
  <c r="E179" i="2"/>
  <c r="E183" i="2"/>
  <c r="E184" i="2"/>
  <c r="E186" i="2"/>
  <c r="E188" i="2"/>
  <c r="E185" i="2"/>
  <c r="E3" i="2"/>
  <c r="E4" i="2"/>
  <c r="E5" i="2"/>
  <c r="E11" i="2"/>
  <c r="E12" i="2"/>
  <c r="E13" i="2"/>
  <c r="E39" i="2"/>
  <c r="E48" i="2"/>
  <c r="E62" i="2"/>
  <c r="E87" i="2"/>
  <c r="E115" i="2"/>
  <c r="E114" i="2"/>
  <c r="E201" i="2"/>
  <c r="E200" i="2"/>
  <c r="E37" i="2"/>
  <c r="E36" i="2"/>
  <c r="E38" i="2"/>
  <c r="E199" i="2"/>
  <c r="E202" i="2"/>
  <c r="E204" i="2"/>
  <c r="E206" i="2"/>
  <c r="E203" i="2"/>
  <c r="E205" i="2"/>
  <c r="E207" i="2"/>
  <c r="E208" i="2"/>
  <c r="E210" i="2"/>
  <c r="E43" i="2"/>
  <c r="E51" i="2"/>
  <c r="E211" i="2"/>
  <c r="E212" i="2"/>
  <c r="E216" i="2"/>
  <c r="E222" i="2"/>
  <c r="E223" i="2"/>
  <c r="E238" i="2"/>
  <c r="E239" i="2"/>
  <c r="E191" i="2"/>
  <c r="E225" i="2"/>
  <c r="E226" i="2"/>
  <c r="E227" i="2"/>
  <c r="E233" i="2"/>
  <c r="E234" i="2"/>
  <c r="E235" i="2"/>
  <c r="E236" i="2"/>
  <c r="E63" i="2"/>
  <c r="E45" i="2"/>
  <c r="E57" i="2"/>
  <c r="E65" i="2"/>
  <c r="E56" i="2"/>
  <c r="E58" i="2"/>
  <c r="E59" i="2"/>
  <c r="E61" i="2"/>
  <c r="E64" i="2"/>
  <c r="E52" i="2"/>
  <c r="E40" i="2"/>
  <c r="E241" i="2"/>
  <c r="E197" i="2"/>
  <c r="E198" i="2"/>
  <c r="E35" i="2"/>
  <c r="E243" i="2"/>
  <c r="E244" i="2"/>
  <c r="E77" i="2"/>
  <c r="E6" i="2"/>
  <c r="E158" i="2"/>
  <c r="E67" i="2"/>
  <c r="E42" i="2"/>
  <c r="E44" i="2"/>
  <c r="E224" i="2"/>
  <c r="E209" i="2"/>
  <c r="E228" i="2"/>
  <c r="E249" i="2"/>
  <c r="E219" i="2"/>
  <c r="E108" i="2"/>
  <c r="E254" i="2"/>
  <c r="E255" i="2"/>
  <c r="E256" i="2"/>
  <c r="E258" i="2"/>
  <c r="E9" i="2"/>
  <c r="E231" i="2"/>
  <c r="E253" i="2"/>
  <c r="E342" i="2"/>
  <c r="E163" i="2"/>
  <c r="E153" i="2"/>
  <c r="E161" i="2"/>
  <c r="E152" i="2"/>
  <c r="E159" i="2"/>
  <c r="E160" i="2"/>
  <c r="E55" i="2"/>
  <c r="E259" i="2"/>
  <c r="E260" i="2"/>
  <c r="E261" i="2"/>
  <c r="E262" i="2"/>
  <c r="E263" i="2"/>
  <c r="E10" i="2"/>
  <c r="E162" i="2"/>
  <c r="E175" i="2"/>
  <c r="E150" i="2"/>
  <c r="E146" i="2"/>
  <c r="E139" i="2"/>
  <c r="E232" i="2"/>
  <c r="E147" i="2"/>
  <c r="E164" i="2"/>
  <c r="E145" i="2"/>
  <c r="E129" i="2"/>
  <c r="E125" i="2"/>
  <c r="E126" i="2"/>
  <c r="E140" i="2"/>
  <c r="E124" i="2"/>
  <c r="E165" i="2"/>
  <c r="E136" i="2"/>
  <c r="E174" i="2"/>
  <c r="E135" i="2"/>
  <c r="E176" i="2"/>
  <c r="E137" i="2"/>
  <c r="E169" i="2"/>
  <c r="E166" i="2"/>
  <c r="E168" i="2"/>
  <c r="E170" i="2"/>
  <c r="E172" i="2"/>
  <c r="E173" i="2"/>
  <c r="E130" i="2"/>
  <c r="E131" i="2"/>
  <c r="E142" i="2"/>
  <c r="E144" i="2"/>
  <c r="E143" i="2"/>
  <c r="E155" i="2"/>
  <c r="E264" i="2"/>
  <c r="E156" i="2"/>
  <c r="E157" i="2"/>
  <c r="E167" i="2"/>
  <c r="E171" i="2"/>
  <c r="E267" i="2"/>
  <c r="E265" i="2"/>
  <c r="E266" i="2"/>
  <c r="E82" i="2"/>
  <c r="E154" i="2"/>
  <c r="E127" i="2"/>
  <c r="E128" i="2"/>
  <c r="E151" i="2"/>
  <c r="E141" i="2"/>
  <c r="E343" i="2"/>
  <c r="E16" i="2"/>
  <c r="E26" i="2"/>
  <c r="E288" i="2"/>
  <c r="E289" i="2"/>
  <c r="E290" i="2"/>
  <c r="E291" i="2"/>
  <c r="E292" i="2"/>
  <c r="E293" i="2"/>
  <c r="E344" i="2"/>
  <c r="E294" i="2"/>
  <c r="E295" i="2"/>
  <c r="E104" i="2"/>
  <c r="E100" i="2"/>
  <c r="E105" i="2"/>
  <c r="E102" i="2"/>
  <c r="E53" i="2"/>
  <c r="E47" i="2"/>
  <c r="E120" i="2"/>
  <c r="E106" i="2"/>
  <c r="E112" i="2"/>
  <c r="E113" i="2"/>
  <c r="E122" i="2"/>
  <c r="E117" i="2"/>
  <c r="E182" i="2"/>
  <c r="E118" i="2"/>
  <c r="E213" i="2"/>
  <c r="E68" i="2"/>
  <c r="E215" i="2"/>
  <c r="E217" i="2"/>
  <c r="E25" i="2"/>
  <c r="E24" i="2"/>
  <c r="E218" i="2"/>
  <c r="E97" i="2"/>
  <c r="E214" i="2"/>
  <c r="E15" i="2"/>
  <c r="E17" i="2"/>
  <c r="E103" i="2"/>
  <c r="E119" i="2"/>
  <c r="E109" i="2"/>
  <c r="E110" i="2"/>
  <c r="E121" i="2"/>
  <c r="E99" i="2"/>
  <c r="E116" i="2"/>
  <c r="E111" i="2"/>
  <c r="E269" i="2"/>
  <c r="E271" i="2"/>
  <c r="E272" i="2"/>
  <c r="E33" i="2"/>
  <c r="E273" i="2"/>
  <c r="E274" i="2"/>
  <c r="E277" i="2"/>
  <c r="E177" i="2"/>
  <c r="E81" i="2"/>
  <c r="E34" i="2"/>
  <c r="E278" i="2"/>
  <c r="E345" i="2"/>
  <c r="E281" i="2"/>
  <c r="E240" i="2"/>
  <c r="E237" i="2"/>
  <c r="E257" i="2"/>
  <c r="E268" i="2"/>
  <c r="E18" i="2"/>
  <c r="E19" i="2"/>
  <c r="E60" i="2"/>
  <c r="E46" i="2"/>
  <c r="E181" i="2"/>
  <c r="E27" i="2"/>
  <c r="E30" i="2"/>
  <c r="E86" i="2"/>
  <c r="E91" i="2"/>
  <c r="E71" i="2"/>
  <c r="E74" i="2"/>
  <c r="E70" i="2"/>
  <c r="E73" i="2"/>
  <c r="E83" i="2"/>
  <c r="E69" i="2"/>
  <c r="E346" i="2"/>
  <c r="E123" i="2"/>
  <c r="E347" i="2"/>
  <c r="E93" i="2"/>
  <c r="E89" i="2"/>
  <c r="E90" i="2"/>
  <c r="E75" i="2"/>
  <c r="E78" i="2"/>
  <c r="E285" i="2"/>
  <c r="E132" i="2"/>
  <c r="E133" i="2"/>
  <c r="E138" i="2"/>
  <c r="E134" i="2"/>
  <c r="E88" i="2"/>
  <c r="E79" i="2"/>
  <c r="E280" i="2"/>
  <c r="E190" i="2"/>
  <c r="E189" i="2"/>
  <c r="E348" i="2"/>
  <c r="E193" i="2"/>
</calcChain>
</file>

<file path=xl/sharedStrings.xml><?xml version="1.0" encoding="utf-8"?>
<sst xmlns="http://schemas.openxmlformats.org/spreadsheetml/2006/main" count="5385" uniqueCount="2320">
  <si>
    <t>Var</t>
  </si>
  <si>
    <t>Description</t>
  </si>
  <si>
    <t>Formula</t>
  </si>
  <si>
    <t>Canonical_SMILES</t>
  </si>
  <si>
    <t>InChI</t>
  </si>
  <si>
    <t>MW</t>
  </si>
  <si>
    <t>Phase</t>
  </si>
  <si>
    <t>Version_Info</t>
  </si>
  <si>
    <t>MechanismTracer_ID</t>
  </si>
  <si>
    <t>MCM_Name</t>
  </si>
  <si>
    <t>RCIM_Name</t>
  </si>
  <si>
    <t>RCIM_Mini</t>
  </si>
  <si>
    <t>MCM_Formula_Match</t>
  </si>
  <si>
    <t>A3O2</t>
  </si>
  <si>
    <t>Primary peroxy radical from C3H8</t>
  </si>
  <si>
    <t>CH3CH2CH2OO</t>
  </si>
  <si>
    <t>CCCO[O]</t>
  </si>
  <si>
    <t>InChI=1S/C3H7O2/c1-2-3-5-4/h2-3H2,1H3</t>
  </si>
  <si>
    <t>Gas</t>
  </si>
  <si>
    <t>NC3H7O2</t>
  </si>
  <si>
    <t>ACET</t>
  </si>
  <si>
    <t>Acetone</t>
  </si>
  <si>
    <t>CH3C(O)CH3</t>
  </si>
  <si>
    <t>CC(C)=O</t>
  </si>
  <si>
    <t>InChI=1S/C3H6O/c1-3(2)4/h1-2H3</t>
  </si>
  <si>
    <t>CH3COCH3</t>
  </si>
  <si>
    <t>ACTA</t>
  </si>
  <si>
    <t>Acetic acid</t>
  </si>
  <si>
    <t>CH3C(O)OH</t>
  </si>
  <si>
    <t>CC(=O)O</t>
  </si>
  <si>
    <t>InChI=1S/C2H4O2/c1-2(3)4/h1H3,(H,3,4)</t>
  </si>
  <si>
    <t>CH3CO2H</t>
  </si>
  <si>
    <t>AERI</t>
  </si>
  <si>
    <t>Iodine on aerosol</t>
  </si>
  <si>
    <t>I</t>
  </si>
  <si>
    <t>None</t>
  </si>
  <si>
    <t>Aerosol</t>
  </si>
  <si>
    <t>ALD2</t>
  </si>
  <si>
    <t>Acetaldehyde</t>
  </si>
  <si>
    <t>CH3CHO</t>
  </si>
  <si>
    <t>CC=O</t>
  </si>
  <si>
    <t>InChI=1S/C2H4O/c1-2-3/h2H,1H3</t>
  </si>
  <si>
    <t>ALK4</t>
  </si>
  <si>
    <t>Lumped &gt;= C4 Alkanes</t>
  </si>
  <si>
    <t>CCCC</t>
  </si>
  <si>
    <t>InChI=1S/C4H10/c1-3-4-2/h3-4H2,1-2H3</t>
  </si>
  <si>
    <t>NC4H10</t>
  </si>
  <si>
    <t>AONITA</t>
  </si>
  <si>
    <t>Aerosol-phase organonitrates from aromatics</t>
  </si>
  <si>
    <t>C6H6O6N</t>
  </si>
  <si>
    <t>AROMP4</t>
  </si>
  <si>
    <t>Generic C4 product of aromatics</t>
  </si>
  <si>
    <t>C4H4O2</t>
  </si>
  <si>
    <t>InChI=1S/C4H4O2/c1-2-4(6)3-5/h2-3H,1H2;InChI=1S/C4H4O2/c5-3-1-2-4-6/h1-4H</t>
  </si>
  <si>
    <t>MALDIAL;VGLYOX</t>
  </si>
  <si>
    <t>BZFUONE;MALDIAL;VGLYOX</t>
  </si>
  <si>
    <t>AROMP5</t>
  </si>
  <si>
    <t>C5 unsaturated dicarbonyl</t>
  </si>
  <si>
    <t>C5H6O2</t>
  </si>
  <si>
    <t>InChI=1S/C5H6O2/c1-5(4-7)2-3-6/h2-4H,1H3;InChI=1S/C5H6O2/c1-5(7)3-2-4-6/h2-4H,1H3</t>
  </si>
  <si>
    <t>C4MDIAL;C5DICARB</t>
  </si>
  <si>
    <t>C4MDIAL;C5DICARB;PXYFUONE;TLFUONE</t>
  </si>
  <si>
    <t>AROMRO2</t>
  </si>
  <si>
    <t>hydroxy-peroxy radical from aromatics</t>
  </si>
  <si>
    <t>C6H7O3</t>
  </si>
  <si>
    <t>C4MCODBCO2;C615CO2O;C619O;C6DCARBBO;CY6DIONO;CYC6DIONO;MC4CODBCO2</t>
  </si>
  <si>
    <t>ASOA1</t>
  </si>
  <si>
    <t>Lumped non-volatile aerosol products of light aromatics + IVOCs</t>
  </si>
  <si>
    <t>ASOA2</t>
  </si>
  <si>
    <t>ASOA3</t>
  </si>
  <si>
    <t>ASOAN</t>
  </si>
  <si>
    <t>ASOG1</t>
  </si>
  <si>
    <t>Lumped non-volatile gas products of light aromatics + IVOCs</t>
  </si>
  <si>
    <t>ASOG2</t>
  </si>
  <si>
    <t>ASOG3</t>
  </si>
  <si>
    <t>ATO2</t>
  </si>
  <si>
    <t>Peroxy radical from acetone</t>
  </si>
  <si>
    <t>CH3C(O)CH2O2</t>
  </si>
  <si>
    <t>CC(=O)CO[O]</t>
  </si>
  <si>
    <t>InChI=1S/C3H5O3/c1-3(4)2-6-5/h2H2,1H3</t>
  </si>
  <si>
    <t>CH3COCH2O2</t>
  </si>
  <si>
    <t>ATOOH</t>
  </si>
  <si>
    <t>ATO2 Peroxide / Hydroperoxyacetone;ATO2 peroxide</t>
  </si>
  <si>
    <t>C3H6O3;CH3C(O)CH2OOH</t>
  </si>
  <si>
    <t>CC(=O)COO</t>
  </si>
  <si>
    <t>InChI=1S/C3H6O3/c1-3(4)2-6-5/h5H,2H2,1H3</t>
  </si>
  <si>
    <t>HYPERACET</t>
  </si>
  <si>
    <t>HPAC</t>
  </si>
  <si>
    <t>AlF1</t>
  </si>
  <si>
    <t>Al</t>
  </si>
  <si>
    <t>AlF2</t>
  </si>
  <si>
    <t>AsF1</t>
  </si>
  <si>
    <t>As</t>
  </si>
  <si>
    <t>AsF2</t>
  </si>
  <si>
    <t>B3O2</t>
  </si>
  <si>
    <t>CH3CH(OO)CH3</t>
  </si>
  <si>
    <t>CC(C)O[O]</t>
  </si>
  <si>
    <t>InChI=1S/C3H7O2/c1-3(2)5-4/h3H,1-2H3</t>
  </si>
  <si>
    <t>IC3H7O2</t>
  </si>
  <si>
    <t>BALD</t>
  </si>
  <si>
    <t>Benzaldehyde</t>
  </si>
  <si>
    <t>C7H6O</t>
  </si>
  <si>
    <t>O=Cc1ccccc1</t>
  </si>
  <si>
    <t>InChI=1S/C7H6O/c8-6-7-4-2-1-3-5-7/h1-6H</t>
  </si>
  <si>
    <t>BENZAL</t>
  </si>
  <si>
    <t>BCPI</t>
  </si>
  <si>
    <t>Hydrophilic black carbon aerosol</t>
  </si>
  <si>
    <t>C</t>
  </si>
  <si>
    <t>BCPO</t>
  </si>
  <si>
    <t>Hydrophobic black carbon aerosol</t>
  </si>
  <si>
    <t>BENZ</t>
  </si>
  <si>
    <t>Benzene</t>
  </si>
  <si>
    <t>C6H6</t>
  </si>
  <si>
    <t>c1ccccc1</t>
  </si>
  <si>
    <t>InChI=1S/C6H6/c1-2-4-6-5-3-1/h1-6H</t>
  </si>
  <si>
    <t>BENZENE</t>
  </si>
  <si>
    <t>BENZO</t>
  </si>
  <si>
    <t>alkoxy radical from aromatics</t>
  </si>
  <si>
    <t>C6H5O</t>
  </si>
  <si>
    <t>[O]c1ccccc1</t>
  </si>
  <si>
    <t>InChI=1S/C6H5O/c7-6-4-2-1-3-5-6/h1-5H</t>
  </si>
  <si>
    <t>BENZO2</t>
  </si>
  <si>
    <t>peroxy radical from aromatics</t>
  </si>
  <si>
    <t>C6H5O2</t>
  </si>
  <si>
    <t>[O]Oc1ccccc1</t>
  </si>
  <si>
    <t>InChI=1S/C6H5O2/c7-8-6-4-2-1-3-5-6/h1-5H</t>
  </si>
  <si>
    <t>C6H5O2;CATEC1O</t>
  </si>
  <si>
    <t>BENZP</t>
  </si>
  <si>
    <t>Phenyl hydroperoxide</t>
  </si>
  <si>
    <t>C6H6O2</t>
  </si>
  <si>
    <t>OOc1ccccc1</t>
  </si>
  <si>
    <t>InChI=1S/C6H6O2/c7-8-6-4-2-1-3-5-6/h1-5,7H</t>
  </si>
  <si>
    <t>C6H5OOH</t>
  </si>
  <si>
    <t>C6H5OOH;CATECHOL</t>
  </si>
  <si>
    <t>BRO2</t>
  </si>
  <si>
    <t>Peroxy radical from BENZ oxidation</t>
  </si>
  <si>
    <t>C6H7O5</t>
  </si>
  <si>
    <t>[O]OC1C=CC2OOC1C2O</t>
  </si>
  <si>
    <t>InChI=1S/C6H7O5/c7-5-3-1-2-4(9-8)6(5)11-10-3/h1-7H</t>
  </si>
  <si>
    <t>BZBIPERO2</t>
  </si>
  <si>
    <t>ACCOCOETO;ACCOMCOMO;BZBIPERO2;BZEMUCO;C23C54CO3;C511CO3;C512CO3;C5CO34CO3;C6145COO2;C616O2;C620O2;C62O2;C6COCHOCO3;C6OTKETO;C6TRONOHO;CO234C65O2;CO235C6O2;CO356OCO;CY6TRIONO2;DMMALYO;EMALANHYO;EPXKTMCO3;EPXM2DLCO3;EPXMKTCO3;PHENO</t>
  </si>
  <si>
    <t>BZCO3</t>
  </si>
  <si>
    <t>Acyl peroxy radical from benzaldehyde</t>
  </si>
  <si>
    <t>C7H5O3</t>
  </si>
  <si>
    <t>[O]OC(=O)c1ccccc1</t>
  </si>
  <si>
    <t>InChI=1S/C7H5O3/c8-7(10-9)6-4-2-1-3-5-6/h1-5H</t>
  </si>
  <si>
    <t>C6H5CO3</t>
  </si>
  <si>
    <t>BZCO3H</t>
  </si>
  <si>
    <t>Perbenzoic acid</t>
  </si>
  <si>
    <t>C6H5CO3H</t>
  </si>
  <si>
    <t>O=C(OO)c1ccccc1</t>
  </si>
  <si>
    <t>InChI=1S/C7H6O3/c8-7(10-9)6-4-2-1-3-5-6/h1-5,9H</t>
  </si>
  <si>
    <t>BZPAN</t>
  </si>
  <si>
    <t>Peroxybenzoylnitrate</t>
  </si>
  <si>
    <t>C7H5O5N</t>
  </si>
  <si>
    <t>O=C(O[N+](=O)[O-])c1cccc2ooc12</t>
  </si>
  <si>
    <t>InChI=1S/C7H3NO6/c9-7(12-8(10)11)4-2-1-3-5-6(4)14-13-5/h1-3H</t>
  </si>
  <si>
    <t>Be10</t>
  </si>
  <si>
    <t>Beryllium-10 isotope</t>
  </si>
  <si>
    <t>Be10Strat</t>
  </si>
  <si>
    <t>Beryllium-10 isotope in stratosphere</t>
  </si>
  <si>
    <t>Be7</t>
  </si>
  <si>
    <t>Beryllium-7 isotope</t>
  </si>
  <si>
    <t>Be7Strat</t>
  </si>
  <si>
    <t>Beryllium-7 isotope in stratosphere</t>
  </si>
  <si>
    <t>Br</t>
  </si>
  <si>
    <t>Atomic bromine</t>
  </si>
  <si>
    <t>[Br]</t>
  </si>
  <si>
    <t>InChI=1S/Br</t>
  </si>
  <si>
    <t>Br2</t>
  </si>
  <si>
    <t>Molecular Bromine</t>
  </si>
  <si>
    <t>BrBr</t>
  </si>
  <si>
    <t>InChI=1S/Br2/c1-2</t>
  </si>
  <si>
    <t>BrCl</t>
  </si>
  <si>
    <t>Bromine chloride</t>
  </si>
  <si>
    <t>ClBr</t>
  </si>
  <si>
    <t>InChI=1S/BrCl/c1-2</t>
  </si>
  <si>
    <t>BrNO2</t>
  </si>
  <si>
    <t>Nitryl bromide</t>
  </si>
  <si>
    <t>O=NOBr</t>
  </si>
  <si>
    <t>InChI=1S/BrNO2/c1-4-2-3</t>
  </si>
  <si>
    <t>BrNO3</t>
  </si>
  <si>
    <t>Bromine nitrate</t>
  </si>
  <si>
    <t>O=[N+]([O-])OBr</t>
  </si>
  <si>
    <t>InChI=1S/BrNO3/c1-5-2(3)4</t>
  </si>
  <si>
    <t>BrO</t>
  </si>
  <si>
    <t>Bromine monoxide</t>
  </si>
  <si>
    <t>[O]Br</t>
  </si>
  <si>
    <t>InChI=1S/BrO/c1-2</t>
  </si>
  <si>
    <t>BrSALA</t>
  </si>
  <si>
    <t>Fine sea salt bromine</t>
  </si>
  <si>
    <t>BrSALC</t>
  </si>
  <si>
    <t>Coarse sea salt bromine</t>
  </si>
  <si>
    <t>Atomic carbon</t>
  </si>
  <si>
    <t>[C]</t>
  </si>
  <si>
    <t>InChI=1S/C</t>
  </si>
  <si>
    <t>C2H2</t>
  </si>
  <si>
    <t>Acetylene (aka Ethyne)</t>
  </si>
  <si>
    <t>C#C</t>
  </si>
  <si>
    <t>InChI=1S/C2H2/c1-2/h1-2H</t>
  </si>
  <si>
    <t>C2H4</t>
  </si>
  <si>
    <t>Ethylene</t>
  </si>
  <si>
    <t>C=C</t>
  </si>
  <si>
    <t>InChI=1S/C2H4/c1-2/h1-2H2</t>
  </si>
  <si>
    <t>C2H6</t>
  </si>
  <si>
    <t>Ethane</t>
  </si>
  <si>
    <t>CC</t>
  </si>
  <si>
    <t>InChI=1S/C2H6/c1-2/h1-2H3</t>
  </si>
  <si>
    <t>C3H8</t>
  </si>
  <si>
    <t>Propane</t>
  </si>
  <si>
    <t>CCC</t>
  </si>
  <si>
    <t>InChI=1S/C3H8/c1-3-2/h3H2,1-2H3</t>
  </si>
  <si>
    <t>C4HVP1</t>
  </si>
  <si>
    <t>(E)-but-2-ene-1-hydroxy 3-OO;(Z)-but-2-ene-1-hydroxy 3-OO;C4 hydroxy-vinyl peroxy radicals from HPALDS</t>
  </si>
  <si>
    <t>C4H7O3</t>
  </si>
  <si>
    <t>InChI=1S/C4H7O3/c1-4(7-6)2-3-5/h2,5H,3H2,1H3/b4-2+;InChI=1S/C4H7O3/c1-4(7-6)2-3-5/h2,5H,3H2,1H3/b4-2-</t>
  </si>
  <si>
    <t>C4HVP2</t>
  </si>
  <si>
    <t>(E) 2-methlyprop-1-ene 1-hydroxy - 3-OO;(Z) 2-methlyprop-1-ene 1-hydroxy - 3-OO;C4 hydroxy-vinyl peroxy radicals from HPALDS</t>
  </si>
  <si>
    <t>InChI=1S/C4H7O3/c1-4(2-5)3-7-6/h3,5H,2H2,1H3/b4-3+;InChI=1S/C4H7O3/c1-4(2-5)3-7-6/h3,5H,2H2,1H3/b4-3-</t>
  </si>
  <si>
    <t>CCl4</t>
  </si>
  <si>
    <t>Carbon tetrachloride</t>
  </si>
  <si>
    <t>ClC(Cl)(Cl)Cl</t>
  </si>
  <si>
    <t>InChI=1S/CCl4/c2-1(3,4)5</t>
  </si>
  <si>
    <t>CFC11</t>
  </si>
  <si>
    <t>CFC-11</t>
  </si>
  <si>
    <t>CCl3F</t>
  </si>
  <si>
    <t>FC(Cl)(Cl)Cl</t>
  </si>
  <si>
    <t>InChI=1S/CCl3F/c2-1(3,4)5</t>
  </si>
  <si>
    <t>CFC113</t>
  </si>
  <si>
    <t>CFC-113</t>
  </si>
  <si>
    <t>C2Cl3F3</t>
  </si>
  <si>
    <t>FC(F)(Cl)C(F)(Cl)Cl</t>
  </si>
  <si>
    <t>InChI=1S/C2Cl3F3/c3-1(4,6)2(5,7)8</t>
  </si>
  <si>
    <t>CFC114</t>
  </si>
  <si>
    <t>CFC-114</t>
  </si>
  <si>
    <t>C2Cl2F4</t>
  </si>
  <si>
    <t>FC(F)(Cl)C(F)(F)Cl</t>
  </si>
  <si>
    <t>InChI=1S/C2Cl2F4/c3-1(5,6)2(4,7)8</t>
  </si>
  <si>
    <t>CFC115</t>
  </si>
  <si>
    <t>CFC-115</t>
  </si>
  <si>
    <t>C2ClF5</t>
  </si>
  <si>
    <t>FC(F)(F)C(F)(F)Cl</t>
  </si>
  <si>
    <t>InChI=1S/C2ClF5/c3-1(4,5)2(6,7)8</t>
  </si>
  <si>
    <t>CFC12</t>
  </si>
  <si>
    <t>CFC-12</t>
  </si>
  <si>
    <t>CCl2F2</t>
  </si>
  <si>
    <t>FC(F)(Cl)Cl</t>
  </si>
  <si>
    <t>InChI=1S/CCl2F2/c2-1(3,4)5</t>
  </si>
  <si>
    <t>CH2Br2</t>
  </si>
  <si>
    <t>Dibromomethane</t>
  </si>
  <si>
    <t>InChI=1S/CH2Br2/c2-1-3/h1H</t>
  </si>
  <si>
    <t>CH2Cl2</t>
  </si>
  <si>
    <t>Dichloromethane</t>
  </si>
  <si>
    <t>ClCCl</t>
  </si>
  <si>
    <t>InChI=1S/CH2Cl2/c2-1-3/h1H2</t>
  </si>
  <si>
    <t>CH2CL2</t>
  </si>
  <si>
    <t>CH2I2</t>
  </si>
  <si>
    <t>Diiodomethane</t>
  </si>
  <si>
    <t>ICI</t>
  </si>
  <si>
    <t>InChI=1S/CH2I2/c2-1-3/h1H2</t>
  </si>
  <si>
    <t>CH2IBr</t>
  </si>
  <si>
    <t>Bromoiodomethane</t>
  </si>
  <si>
    <t>BrCI</t>
  </si>
  <si>
    <t>InChI=1S/CH2BrI/c2-1-3/h1H2</t>
  </si>
  <si>
    <t>CH2ICl</t>
  </si>
  <si>
    <t>Chloroiodomethane</t>
  </si>
  <si>
    <t>ClCI</t>
  </si>
  <si>
    <t>InChI=1S/CH2ClI/c2-1-3/h1H2</t>
  </si>
  <si>
    <t>CH2O</t>
  </si>
  <si>
    <t>Formaldehyde</t>
  </si>
  <si>
    <t>C=O</t>
  </si>
  <si>
    <t>InChI=1S/CH2O/c1-2/h1H2</t>
  </si>
  <si>
    <t>HCHO</t>
  </si>
  <si>
    <t>CH2OO</t>
  </si>
  <si>
    <t>Criegee intermediate</t>
  </si>
  <si>
    <t>CH2O2;CH2OO</t>
  </si>
  <si>
    <t>C=[O+][O-]</t>
  </si>
  <si>
    <t>InChI=1S/CH2O2/c1-3-2/h1H2</t>
  </si>
  <si>
    <t>CH2OO;CH2OOA;CH2OOB;CH2OOC;CH2OOD;CH2OOE;CH2OOF;CH2OOG</t>
  </si>
  <si>
    <t>CH3Br</t>
  </si>
  <si>
    <t>Methyl bromide</t>
  </si>
  <si>
    <t>CBr</t>
  </si>
  <si>
    <t>InChI=1S/CH3Br/c1-2/h1H3</t>
  </si>
  <si>
    <t>CH3BR</t>
  </si>
  <si>
    <t>CH3CCl3</t>
  </si>
  <si>
    <t>Methyl chloroform</t>
  </si>
  <si>
    <t>CC(Cl)(Cl)Cl</t>
  </si>
  <si>
    <t>InChI=1S/C2H3Cl3/c1-2(3,4)5/h1H3</t>
  </si>
  <si>
    <t>CH3CCL3</t>
  </si>
  <si>
    <t>CH3CHOO</t>
  </si>
  <si>
    <t>C2H4O2;CH3CHOO</t>
  </si>
  <si>
    <t>CC=[O+][O-]</t>
  </si>
  <si>
    <t>InChI=1S/C2H4O2/c1-2-4-3/h2H,1H3</t>
  </si>
  <si>
    <t>CH3CHOO;CH3CHOOA;CH3CHOOB;CH3CHOOC</t>
  </si>
  <si>
    <t>CH3Cl</t>
  </si>
  <si>
    <t>Chloromethane</t>
  </si>
  <si>
    <t>CCl</t>
  </si>
  <si>
    <t>InChI=1S/CH3Cl/c1-2/h1H3</t>
  </si>
  <si>
    <t>CH3CL</t>
  </si>
  <si>
    <t>CH3I</t>
  </si>
  <si>
    <t>Methyl iodide</t>
  </si>
  <si>
    <t>CI</t>
  </si>
  <si>
    <t>InChI=1S/CH3I/c1-2/h1H3</t>
  </si>
  <si>
    <t>CH3ITracer</t>
  </si>
  <si>
    <t>v11-02d</t>
  </si>
  <si>
    <t>CH4</t>
  </si>
  <si>
    <t>Methane</t>
  </si>
  <si>
    <t>InChI=1S/CH4/h1H4</t>
  </si>
  <si>
    <t>CH4_BBN</t>
  </si>
  <si>
    <t>CH4 from biomass burning emissions</t>
  </si>
  <si>
    <t>CH4_COL</t>
  </si>
  <si>
    <t>CH4 from coal mining emissions</t>
  </si>
  <si>
    <t>CH4_GAS</t>
  </si>
  <si>
    <t>CH4 from gas emissions</t>
  </si>
  <si>
    <t>CH4_LAK</t>
  </si>
  <si>
    <t>CH4 from lake emissions</t>
  </si>
  <si>
    <t>CH4_LDF</t>
  </si>
  <si>
    <t>CH4 from landfill emissions</t>
  </si>
  <si>
    <t>CH4_LIV</t>
  </si>
  <si>
    <t>CH4 from livestock emissions</t>
  </si>
  <si>
    <t>CH4_OIL</t>
  </si>
  <si>
    <t>CH4 from oil emissions</t>
  </si>
  <si>
    <t>CH4_OTA</t>
  </si>
  <si>
    <t>CH4 from other anthropogenic emissions</t>
  </si>
  <si>
    <t>CH4_RIC</t>
  </si>
  <si>
    <t>CH4 from rice emissions</t>
  </si>
  <si>
    <t>CH4_SAB</t>
  </si>
  <si>
    <t>CH4 from soil absorption emissions</t>
  </si>
  <si>
    <t>CH4_SEE</t>
  </si>
  <si>
    <t>CH4 from geological seep emissions</t>
  </si>
  <si>
    <t>CH4_TER</t>
  </si>
  <si>
    <t>CH4 from termite emissions</t>
  </si>
  <si>
    <t>CH4_WST</t>
  </si>
  <si>
    <t>CH4 from waste emissions</t>
  </si>
  <si>
    <t>CH4_WTL</t>
  </si>
  <si>
    <t>CH4 from wetland emissions</t>
  </si>
  <si>
    <t>CHBr3</t>
  </si>
  <si>
    <t>Bromoform</t>
  </si>
  <si>
    <t>BrC(Br)Br</t>
  </si>
  <si>
    <t>InChI=1S/CHBr3/c2-1(3)4/h1H</t>
  </si>
  <si>
    <t>CHCl3</t>
  </si>
  <si>
    <t>Chloroform</t>
  </si>
  <si>
    <t>ClC(Cl)Cl</t>
  </si>
  <si>
    <t>InChI=1S/CHCl3/c2-1(3)4/h1H</t>
  </si>
  <si>
    <t>CHCL3</t>
  </si>
  <si>
    <t>CO</t>
  </si>
  <si>
    <t>Carbon monoxide</t>
  </si>
  <si>
    <t>[C-]#[O+]</t>
  </si>
  <si>
    <t>InChI=1S/CO/c1-2</t>
  </si>
  <si>
    <t>CO2</t>
  </si>
  <si>
    <t>Carbon dioxide</t>
  </si>
  <si>
    <t>O=C=O</t>
  </si>
  <si>
    <t>InChI=1S/CO2/c2-1-3</t>
  </si>
  <si>
    <t>CO2av</t>
  </si>
  <si>
    <t>Carbon dioxide from aviation emissions</t>
  </si>
  <si>
    <t>CO2bal</t>
  </si>
  <si>
    <t>Carbon dioxide from balanced biosphere</t>
  </si>
  <si>
    <t>CO2bb</t>
  </si>
  <si>
    <t>Carbon dioxide from biomass burning emissions</t>
  </si>
  <si>
    <t>CO2bf</t>
  </si>
  <si>
    <t>Carbon dioxide from biofuel emissions</t>
  </si>
  <si>
    <t>CO2bg</t>
  </si>
  <si>
    <t>CO2 background</t>
  </si>
  <si>
    <t>CO2ch</t>
  </si>
  <si>
    <t>Carbon dioxide from chemical sources</t>
  </si>
  <si>
    <t>CO2corr</t>
  </si>
  <si>
    <t>Carbon dioxide chemical source surface correction</t>
  </si>
  <si>
    <t>CO2ff</t>
  </si>
  <si>
    <t>Carbon dioxide from fossil fuel emissions</t>
  </si>
  <si>
    <t>CO2nte</t>
  </si>
  <si>
    <t>Carbon dioxide from net terrestrial exchange</t>
  </si>
  <si>
    <t>CO2oc</t>
  </si>
  <si>
    <t>Carbon dioxide from ocean emissions</t>
  </si>
  <si>
    <t>CO2se</t>
  </si>
  <si>
    <t>Carbon dioxide from ship emissions</t>
  </si>
  <si>
    <t>CO2xx</t>
  </si>
  <si>
    <t>CO2 tracers produced in various regions</t>
  </si>
  <si>
    <t>COacet</t>
  </si>
  <si>
    <t>CO produced from acetone oxidation</t>
  </si>
  <si>
    <t>COasia</t>
  </si>
  <si>
    <t>Anthropogenic + biofuel CO emitted over Asia</t>
  </si>
  <si>
    <t>CObbAf</t>
  </si>
  <si>
    <t>CO from African biomass burning emissions</t>
  </si>
  <si>
    <t>CObbAm</t>
  </si>
  <si>
    <t>CO from South American biomass burning emissions</t>
  </si>
  <si>
    <t>CObbAs</t>
  </si>
  <si>
    <t>CO from SE Asian biomass burning emissions</t>
  </si>
  <si>
    <t>CObbEu</t>
  </si>
  <si>
    <t>CO from European biomass burning emissions</t>
  </si>
  <si>
    <t>CObbNA</t>
  </si>
  <si>
    <t>CO from North American biomass burning emissions</t>
  </si>
  <si>
    <t>CObbOc</t>
  </si>
  <si>
    <t>CO from Oceania biomass burning emissions</t>
  </si>
  <si>
    <t>CObbaf</t>
  </si>
  <si>
    <t>Biomass burning CO emitted over Africa</t>
  </si>
  <si>
    <t>CObbam</t>
  </si>
  <si>
    <t>Biomass burning CO emitted over South America</t>
  </si>
  <si>
    <t>CObbas</t>
  </si>
  <si>
    <t>Biomass burning CO emitted over Asia</t>
  </si>
  <si>
    <t>CObbeu</t>
  </si>
  <si>
    <t>Biomass burning CO emitted over Europe</t>
  </si>
  <si>
    <t>CObboc</t>
  </si>
  <si>
    <t>Biomass burning CO emitted over Oceania</t>
  </si>
  <si>
    <t>CObboth</t>
  </si>
  <si>
    <t>Biomass burning CO emitted everywhere else</t>
  </si>
  <si>
    <t>CObiof</t>
  </si>
  <si>
    <t>CO produced from biofuels (whole world)</t>
  </si>
  <si>
    <t>COch4</t>
  </si>
  <si>
    <t>CO produced from methane oxidation</t>
  </si>
  <si>
    <t>COeur</t>
  </si>
  <si>
    <t>Anthropogenic + biofuel CO emitted over Europe</t>
  </si>
  <si>
    <t>COisop</t>
  </si>
  <si>
    <t>CO produced from isoprene oxidation</t>
  </si>
  <si>
    <t>COmeoh</t>
  </si>
  <si>
    <t>CO produced from methanol oxidation</t>
  </si>
  <si>
    <t>COmono</t>
  </si>
  <si>
    <t>CO produced from monoterpene oxidation</t>
  </si>
  <si>
    <t>COnmvoc</t>
  </si>
  <si>
    <t>CO produced from NMVOC oxidation</t>
  </si>
  <si>
    <t>COoth</t>
  </si>
  <si>
    <t>Anthropogenic + biofuel CO emitted everywhere else</t>
  </si>
  <si>
    <t>COus</t>
  </si>
  <si>
    <t>Anthropogenic + biofuel CO emitted over the USA</t>
  </si>
  <si>
    <t>CSL</t>
  </si>
  <si>
    <t>Cresols</t>
  </si>
  <si>
    <t>C7H8O</t>
  </si>
  <si>
    <t>Cc1ccccc1O</t>
  </si>
  <si>
    <t>InChI=1S/C7H8O/c1-6-4-2-3-5-7(6)8/h2-5,8H,1H3</t>
  </si>
  <si>
    <t>CRESOL</t>
  </si>
  <si>
    <t>C6H5CH2OH;CRESOL</t>
  </si>
  <si>
    <t>CaC3</t>
  </si>
  <si>
    <t>Ca</t>
  </si>
  <si>
    <t>CaC4</t>
  </si>
  <si>
    <t>CaF1</t>
  </si>
  <si>
    <t>CaF2</t>
  </si>
  <si>
    <t>CdF1</t>
  </si>
  <si>
    <t>Cd</t>
  </si>
  <si>
    <t>CdF2</t>
  </si>
  <si>
    <t>Cl</t>
  </si>
  <si>
    <t>Atomic chlorine</t>
  </si>
  <si>
    <t>[Cl]</t>
  </si>
  <si>
    <t>InChI=1S/Cl</t>
  </si>
  <si>
    <t>Cl2</t>
  </si>
  <si>
    <t>Molecular chlorine</t>
  </si>
  <si>
    <t>ClCl</t>
  </si>
  <si>
    <t>InChI=1S/Cl2/c1-2</t>
  </si>
  <si>
    <t>Cl2O2</t>
  </si>
  <si>
    <t>Dichlorine dioxide</t>
  </si>
  <si>
    <t>ClOOCl</t>
  </si>
  <si>
    <t>InChI=1S/Cl2O2/c1-3-4-2</t>
  </si>
  <si>
    <t>ClNO2</t>
  </si>
  <si>
    <t>Nitryl chloride</t>
  </si>
  <si>
    <t>O=NOCl</t>
  </si>
  <si>
    <t>InChI=1S/ClNO2/c1-4-2-3</t>
  </si>
  <si>
    <t>ClNO3</t>
  </si>
  <si>
    <t>Chlorine nitrate</t>
  </si>
  <si>
    <t>O=[N+]([O-])OCl</t>
  </si>
  <si>
    <t>InChI=1S/ClNO3/c1-5-2(3)4</t>
  </si>
  <si>
    <t>ClO</t>
  </si>
  <si>
    <t>Chlorine monoxide</t>
  </si>
  <si>
    <t>[O]Cl</t>
  </si>
  <si>
    <t>InChI=1S/ClO/c1-2</t>
  </si>
  <si>
    <t>ClOO</t>
  </si>
  <si>
    <t>Chlorine dioxide</t>
  </si>
  <si>
    <t>[O]OCl</t>
  </si>
  <si>
    <t>InChI=1S/ClO2/c1-3-2</t>
  </si>
  <si>
    <t>DHDC</t>
  </si>
  <si>
    <t>Dihydroperoxide dicarbonyl</t>
  </si>
  <si>
    <t>C5H8O6</t>
  </si>
  <si>
    <t>InChI=1S/C5H8O6/c6-2-3(11-10)1-4(7)5(8)9/h3,6,10H,1-2H2,(H,8,9);</t>
  </si>
  <si>
    <t>v11-02c</t>
  </si>
  <si>
    <t>C516OOH</t>
  </si>
  <si>
    <t>C516OOH;C533OOH</t>
  </si>
  <si>
    <t>DHDN</t>
  </si>
  <si>
    <t>C5 dihydroxydinitrate</t>
  </si>
  <si>
    <t>C5H10O8N2</t>
  </si>
  <si>
    <t>DHMOB</t>
  </si>
  <si>
    <t>See Paulot et al., ACP (2009)</t>
  </si>
  <si>
    <t>HOCH2C(CH3)(OH)C(=O)CHO</t>
  </si>
  <si>
    <t>v9-02g</t>
  </si>
  <si>
    <t>DHPCARP</t>
  </si>
  <si>
    <t>Dihydroxy α-formyl peroxy radical</t>
  </si>
  <si>
    <t>C5H9O7</t>
  </si>
  <si>
    <t>C536O2;C537O2</t>
  </si>
  <si>
    <t>DIBOO</t>
  </si>
  <si>
    <t>Dibble peroxy radical</t>
  </si>
  <si>
    <t>DMS</t>
  </si>
  <si>
    <t>Dimethyl sulfide</t>
  </si>
  <si>
    <t>(CH3)2S;C2H6S</t>
  </si>
  <si>
    <t>CSC</t>
  </si>
  <si>
    <t>InChI=1S/C2H6S/c1-3-2/h1-2H3</t>
  </si>
  <si>
    <t>DST1</t>
  </si>
  <si>
    <t>Dust aerosol, Reff = 0.7 microns</t>
  </si>
  <si>
    <t>DST2</t>
  </si>
  <si>
    <t>Dust aerosol, Reff = 1.4 microns</t>
  </si>
  <si>
    <t>DST3</t>
  </si>
  <si>
    <t>Dust aerosol, Reff = 2.4 microns</t>
  </si>
  <si>
    <t>DST4</t>
  </si>
  <si>
    <t>Dust aerosol, Reff = 4.5 microns</t>
  </si>
  <si>
    <t>DSTAL1</t>
  </si>
  <si>
    <t>Dust alkalinity, Reff = 0.7 microns</t>
  </si>
  <si>
    <t>DSTAL2</t>
  </si>
  <si>
    <t>Dust alkalinity, Reff = 1.4 microns</t>
  </si>
  <si>
    <t>DSTAL3</t>
  </si>
  <si>
    <t>Dust alkalinity, Reff = 2.4 microns</t>
  </si>
  <si>
    <t>DSTAL4</t>
  </si>
  <si>
    <t>Dust alkalinity, Reff = 4.5 microns</t>
  </si>
  <si>
    <t>EOH</t>
  </si>
  <si>
    <t>Ethanol</t>
  </si>
  <si>
    <t>C2H5OH</t>
  </si>
  <si>
    <t>CCO</t>
  </si>
  <si>
    <t>InChI=1S/C2H6O/c1-2-3/h3H,2H2,1H3</t>
  </si>
  <si>
    <t>ETHLN</t>
  </si>
  <si>
    <t>Ethanol nitrate;Ethanol nitrate/ Ethanal Nitrate</t>
  </si>
  <si>
    <t>C2H3NO4;CHOCH2ONO2</t>
  </si>
  <si>
    <t>O=CCO[N+](=O)[O-]</t>
  </si>
  <si>
    <t>InChI=1S/C2H3NO4/c4-1-2-7-3(5)6/h1H,2H2</t>
  </si>
  <si>
    <t>NO3CH2CHO</t>
  </si>
  <si>
    <t>ETHN</t>
  </si>
  <si>
    <t>hydroxy-nitrooxy-ethane</t>
  </si>
  <si>
    <t>HOCH2CH2ONO2</t>
  </si>
  <si>
    <t>O=[N+]([O-])OCCO</t>
  </si>
  <si>
    <t>InChI=1S/C2H5NO4/c4-1-2-7-3(5)6/h4H,1-2H2</t>
  </si>
  <si>
    <t>ETHOHNO3;pETHOHNO3;pETHOHNO3_DIOL</t>
  </si>
  <si>
    <t>ETHP</t>
  </si>
  <si>
    <t>hydroxy-hydroperoxy-ethane</t>
  </si>
  <si>
    <t>HOCH2CH2OOH</t>
  </si>
  <si>
    <t>OCCOO</t>
  </si>
  <si>
    <t>InChI=1S/C2H6O3/c3-1-2-5-4/h3-4H,1-2H2</t>
  </si>
  <si>
    <t>HYETHO2H</t>
  </si>
  <si>
    <t>ETNO3</t>
  </si>
  <si>
    <t>Ethyl nitrate</t>
  </si>
  <si>
    <t>C2H5ONO2</t>
  </si>
  <si>
    <t>CCO[N+](=O)[O-]</t>
  </si>
  <si>
    <t>InChI=1S/C2H5NO3/c1-2-6-3(4)5/h2H2,1H3</t>
  </si>
  <si>
    <t>C2H5NO3</t>
  </si>
  <si>
    <t>ETO</t>
  </si>
  <si>
    <t>alkoxy radical from ETOO</t>
  </si>
  <si>
    <t>HOCH2CH2O</t>
  </si>
  <si>
    <t>CC[O]</t>
  </si>
  <si>
    <t>InChI=1S/C2H5O/c1-2-3/h2H2,1H3</t>
  </si>
  <si>
    <t>C2H5O</t>
  </si>
  <si>
    <t>ETO2</t>
  </si>
  <si>
    <t>CH3CH2OO</t>
  </si>
  <si>
    <t>CCO[O]</t>
  </si>
  <si>
    <t>InChI=1S/C2H5O2/c1-2-4-3/h2H2,1H3</t>
  </si>
  <si>
    <t>C2H5O2</t>
  </si>
  <si>
    <t>ETOO</t>
  </si>
  <si>
    <t>peroxy radical from ethene</t>
  </si>
  <si>
    <t>HOCH2CH2OO</t>
  </si>
  <si>
    <t>[O]OCCO</t>
  </si>
  <si>
    <t>InChI=1S/C2H5O3/c3-1-2-5-4/h3H,1-2H2</t>
  </si>
  <si>
    <t>HOCH2CH2O2</t>
  </si>
  <si>
    <t>ETP</t>
  </si>
  <si>
    <t>Ethylhydroperoxide</t>
  </si>
  <si>
    <t>CH3CH2OOH</t>
  </si>
  <si>
    <t>CCOO</t>
  </si>
  <si>
    <t>InChI=1S/C2H6O2/c1-2-4-3/h3H,2H2,1H3</t>
  </si>
  <si>
    <t>C2H5OOH</t>
  </si>
  <si>
    <t>FeF1</t>
  </si>
  <si>
    <t>Fe</t>
  </si>
  <si>
    <t>FeF2</t>
  </si>
  <si>
    <t>GAOO</t>
  </si>
  <si>
    <t>C2H4O3</t>
  </si>
  <si>
    <t>[O-][O+]=CCO</t>
  </si>
  <si>
    <t>InChI=1S/C2H4O3/c3-1-2-5-4/h2-3H,1H2</t>
  </si>
  <si>
    <t>v11-01d</t>
  </si>
  <si>
    <t>GAOO;GAOOA;GAOOB</t>
  </si>
  <si>
    <t>GLYC</t>
  </si>
  <si>
    <t>Glycoaldehyde;Glycolaldehyde /Ethylhydroperoxide</t>
  </si>
  <si>
    <t>C2H4O2;HOCH2CHO</t>
  </si>
  <si>
    <t>O=CCO</t>
  </si>
  <si>
    <t>InChI=1S/C2H4O2/c3-1-2-4/h1,4H,2H2</t>
  </si>
  <si>
    <t>HOCH2CHO</t>
  </si>
  <si>
    <t>GLYX</t>
  </si>
  <si>
    <t>Glyoxal</t>
  </si>
  <si>
    <t>C2H2O2;CHOCHO</t>
  </si>
  <si>
    <t>O=CC=O</t>
  </si>
  <si>
    <t>InChI=1S/C2H2O2/c3-1-2-4/h1-2H</t>
  </si>
  <si>
    <t>GLYOX;pGLYOX</t>
  </si>
  <si>
    <t>H</t>
  </si>
  <si>
    <t>Atomic hydrogen</t>
  </si>
  <si>
    <t>[H+]</t>
  </si>
  <si>
    <t>InChI=1S/p+1</t>
  </si>
  <si>
    <t>H1211</t>
  </si>
  <si>
    <t>Halon 1211, Freon 12B1</t>
  </si>
  <si>
    <t>CBrClF2</t>
  </si>
  <si>
    <t>FC(F)(Cl)Br</t>
  </si>
  <si>
    <t>InChI=1S/CBrClF2/c2-1(3,4)5</t>
  </si>
  <si>
    <t>H1301</t>
  </si>
  <si>
    <t>Halon 1301, Freon 13B1</t>
  </si>
  <si>
    <t>CBrF3</t>
  </si>
  <si>
    <t>FC(F)(F)Br</t>
  </si>
  <si>
    <t>InChI=1S/CBrF3/c2-1(3,4)5</t>
  </si>
  <si>
    <t>H2</t>
  </si>
  <si>
    <t>Molecular hydrogen</t>
  </si>
  <si>
    <t>[HH]</t>
  </si>
  <si>
    <t>InChI=1S/H2/h1H</t>
  </si>
  <si>
    <t>H2402</t>
  </si>
  <si>
    <t>Halon 2402</t>
  </si>
  <si>
    <t>C2Br2F4</t>
  </si>
  <si>
    <t>FC(F)(Br)C(F)(F)Br</t>
  </si>
  <si>
    <t>InChI=1S/C2Br2F4/c3-1(5,6)2(4,7)8</t>
  </si>
  <si>
    <t>H2O</t>
  </si>
  <si>
    <t>Water vapor</t>
  </si>
  <si>
    <t>O</t>
  </si>
  <si>
    <t>InChI=1S/H2O/h1H2</t>
  </si>
  <si>
    <t>H2O2</t>
  </si>
  <si>
    <t>Hydrogen peroxide</t>
  </si>
  <si>
    <t>OO</t>
  </si>
  <si>
    <t>InChI=1S/H2O2/c1-2/h1-2H</t>
  </si>
  <si>
    <t>HAC</t>
  </si>
  <si>
    <t>Hydroxyacetone</t>
  </si>
  <si>
    <t>C3H6O2;HOCH2C(O)CH3</t>
  </si>
  <si>
    <t>CC(=O)CO</t>
  </si>
  <si>
    <t>InChI=1S/C3H6O2/c1-3(5)2-4/h4H,2H2,1H3</t>
  </si>
  <si>
    <t>ACETOL</t>
  </si>
  <si>
    <t>HBr</t>
  </si>
  <si>
    <t>Hypobromic acid</t>
  </si>
  <si>
    <t>InChI=1S/BrH/h1H</t>
  </si>
  <si>
    <t>HC187</t>
  </si>
  <si>
    <t>Epoxide oxidation product m/z 187-189</t>
  </si>
  <si>
    <t>HC5</t>
  </si>
  <si>
    <t>Hydroxycarbonyl with 5C</t>
  </si>
  <si>
    <t>HOCH2CH=C(CH3)CHO</t>
  </si>
  <si>
    <t>HC5A</t>
  </si>
  <si>
    <t>Hydroxy-carbonyl-Isoprene, 1,4-Delta-HC5;Hydroxy-carbonyl-Isoprene, 4,1-Delta-HC5;isoprene-4,1-hydroxyaldehyde</t>
  </si>
  <si>
    <t>C5H8O2</t>
  </si>
  <si>
    <t>InChI=1S/C5H8O2/c1-5(4-7)2-3-6/h2,4,6H,3H2,1H3;InChI=1S/C5H8O2/c1-5(4-7)2-3-6/h2,4,6H,3H2,1H3/b5-2-;InChI=1S/C5H8O2/c1-5(4-7)2-3-6/h2-3,7H,4H2,1H3;InChI=1S/C5H8O2/c1-5(4-7)2-3-6/h2-3,7H,4H2,1H3/b5-2-</t>
  </si>
  <si>
    <t>HC4ACHO;HC4CCHO</t>
  </si>
  <si>
    <t>ISOP1CO4OH;ISOP1OH4CO</t>
  </si>
  <si>
    <t>35% of HC5A;65% of HC5A</t>
  </si>
  <si>
    <t>HC5OO</t>
  </si>
  <si>
    <t>Peroxy radical from HC5</t>
  </si>
  <si>
    <t>HCFC123</t>
  </si>
  <si>
    <t>HCFC-123, Freon 123</t>
  </si>
  <si>
    <t>C2HCl2F3</t>
  </si>
  <si>
    <t>FC(F)(F)C(Cl)Cl</t>
  </si>
  <si>
    <t>InChI=1S/C2HCl2F3/c3-1(4)2(5,6)7/h1H</t>
  </si>
  <si>
    <t>HCFC141b</t>
  </si>
  <si>
    <t>HCFC-141b, Freon 141b</t>
  </si>
  <si>
    <t>C(CH3)Cl2F</t>
  </si>
  <si>
    <t>CC(F)(Cl)Cl</t>
  </si>
  <si>
    <t>InChI=1S/C2H3Cl2F/c1-2(3,4)5/h1H3</t>
  </si>
  <si>
    <t>HCFC142b</t>
  </si>
  <si>
    <t>HCFC-142b, Freon 142b</t>
  </si>
  <si>
    <t>C(CH3)ClF2</t>
  </si>
  <si>
    <t>CC(F)(F)Cl</t>
  </si>
  <si>
    <t>InChI=1S/C2H3ClF2/c1-2(3,4)5/h1H3</t>
  </si>
  <si>
    <t>HCFC22</t>
  </si>
  <si>
    <t>HCFC-22, Freon 22</t>
  </si>
  <si>
    <t>CHClF2</t>
  </si>
  <si>
    <t>FC(F)Cl</t>
  </si>
  <si>
    <t>InChI=1S/CHClF2/c2-1(3)4/h1H</t>
  </si>
  <si>
    <t>HCOOH</t>
  </si>
  <si>
    <t>Formic acid</t>
  </si>
  <si>
    <t>CH2O2;HCOOH</t>
  </si>
  <si>
    <t>O=CO</t>
  </si>
  <si>
    <t>InChI=1S/CH2O2/c2-1-3/h1H,(H,2,3)</t>
  </si>
  <si>
    <t>HCl</t>
  </si>
  <si>
    <t>Hydrochloric acid</t>
  </si>
  <si>
    <t>InChI=1S/ClH/h1H</t>
  </si>
  <si>
    <t>HI</t>
  </si>
  <si>
    <t>Hydrogen iodide</t>
  </si>
  <si>
    <t>InChI=1S/HI/h1H</t>
  </si>
  <si>
    <t>HMHP</t>
  </si>
  <si>
    <t>Hydroxymethyl hydroperoxide</t>
  </si>
  <si>
    <t>CH4O3;HOCH2OOH</t>
  </si>
  <si>
    <t>OCOO</t>
  </si>
  <si>
    <t>InChI=1S/CH4O3/c2-1-4-3/h2-3H,1H2</t>
  </si>
  <si>
    <t>HMML</t>
  </si>
  <si>
    <t xml:space="preserve"> Hydroxymethyl-methyl-a-lactone;Hydroxymethyl methyloxirane;hydroxymethyl-methyl-a-lactone</t>
  </si>
  <si>
    <t>C4H6O3</t>
  </si>
  <si>
    <t>CC1(CO)OC1=O</t>
  </si>
  <si>
    <t>InChI=1S/C4H6O3/c1-4(2-5)3(6)7-4/h5H,2H2,1H3</t>
  </si>
  <si>
    <t>HMML;pHMML</t>
  </si>
  <si>
    <t>HMS</t>
  </si>
  <si>
    <t>Hydroxymethanesulfonate</t>
  </si>
  <si>
    <t>HOCH2SO3âˆ’</t>
  </si>
  <si>
    <t>HNO2</t>
  </si>
  <si>
    <t>Nitrous acid</t>
  </si>
  <si>
    <t>O=NO</t>
  </si>
  <si>
    <t>InChI=1S/HNO2/c2-1-3/h(H,2,3)</t>
  </si>
  <si>
    <t>HNO3</t>
  </si>
  <si>
    <t>Nitric acid</t>
  </si>
  <si>
    <t>O=[N+]([O-])O</t>
  </si>
  <si>
    <t>InChI=1S/HNO3/c2-1(3)4/h(H,2,3,4)</t>
  </si>
  <si>
    <t>HNO4</t>
  </si>
  <si>
    <t>Peroxynitric acid</t>
  </si>
  <si>
    <t>O=[N+]([O-])OO</t>
  </si>
  <si>
    <t>InChI=1S/HNO4/c2-1(3)5-4/h4H</t>
  </si>
  <si>
    <t>HO2</t>
  </si>
  <si>
    <t>Hydroperoxyl radical</t>
  </si>
  <si>
    <t>[O]O</t>
  </si>
  <si>
    <t>InChI=1S/HO2/c1-2/h1H</t>
  </si>
  <si>
    <t>HOBr</t>
  </si>
  <si>
    <t>Hypobromous acid</t>
  </si>
  <si>
    <t>OBr</t>
  </si>
  <si>
    <t>InChI=1S/BrHO/c1-2/h2H</t>
  </si>
  <si>
    <t>HOCl</t>
  </si>
  <si>
    <t>Hypochlorous acid</t>
  </si>
  <si>
    <t>OCl</t>
  </si>
  <si>
    <t>InChI=1S/ClHO/c1-2/h2H</t>
  </si>
  <si>
    <t>HOI</t>
  </si>
  <si>
    <t>Hypoiodous acid</t>
  </si>
  <si>
    <t>OI</t>
  </si>
  <si>
    <t>InChI=1S/HIO/c1-2/h2H</t>
  </si>
  <si>
    <t>HONIT</t>
  </si>
  <si>
    <t>HPALD</t>
  </si>
  <si>
    <t>Hydroperoxyaldehydes</t>
  </si>
  <si>
    <t>C5H8O3</t>
  </si>
  <si>
    <t>InChI=1S/C5H8O3/c1-3-5(2,4-6)8-7/h3-4,7H,1H2,2H3;InChI=1S/C5H8O3/c1-4(2)5(3-6)8-7/h3,5,7H,1H2,2H3;InChI=1S/C5H8O3/c1-5(2-3-6)4-8-7/h2-3,7H,4H2,1H3/b5-2-;InChI=1S/C5H8O3/c1-5(4-6)2-3-8-7/h2,4,7H,3H2,1H3/b5-2-</t>
  </si>
  <si>
    <t>C5HPALD1;C5HPALD2</t>
  </si>
  <si>
    <t>ISOP1CO2OOH;ISOP1CO4OOH;ISOP1OOH4CO;ISOP3OOH4CO</t>
  </si>
  <si>
    <t>ACEC2CHO;ACEPROPONE;ACETCOC2H5;C3EDIALOH;C41CO2H;C46CO2H;C4MCO2OH;C512OH;C514OH;C524CO;C5CO243OH;C5HPALD1;C5HPALD2;CO1M22CO2H;CO2C4CO2H;CO3C4CO2H;CO3H4CHO;COO2C4CHO;HC4ACO2H;HC4CCO2H;HMVKBCHO;HO1CO24C5;HO1CO34C5;HO2CO4CHO;HOIPRGLYOX;IEACHO;IEB1CHO;IEB4CHO;IECCHO;IPGLYOXOH;IPRACBCHO;M3BU3ECO3H;MBOCOCO;MTBEACHO13;PGLOO;PGLOOA;PGLOOB;PGLYOXOH;PRCOFORM</t>
  </si>
  <si>
    <t>HPALD1</t>
  </si>
  <si>
    <t>Hydroperoxy-carbonyl-Isoprene, Delta-HPALD, HPALD2 ;d-4,1-C5-hydroperoxyaldehyde</t>
  </si>
  <si>
    <t>C/C(C=O)=C/COO</t>
  </si>
  <si>
    <t>InChI=1S/C5H8O3/c1-5(4-6)2-3-8-7/h2,4,7H,3H2,1H3/b5-2-</t>
  </si>
  <si>
    <t>C5HPALD1</t>
  </si>
  <si>
    <t>ISOP1CO4OOH</t>
  </si>
  <si>
    <t>HPALD1OO</t>
  </si>
  <si>
    <t>HPALD1OO;Peroxy radical From OH/O2 addition to 4-OOH d-HPALD</t>
  </si>
  <si>
    <t>C5H7O5</t>
  </si>
  <si>
    <t>C=CC(C)(O[O])C(=O)OO</t>
  </si>
  <si>
    <t>InChI=1S/C5H7O5/c1-3-5(2,10-8)4(6)9-7/h3,7H,1H2,2H3</t>
  </si>
  <si>
    <t>HPALD2</t>
  </si>
  <si>
    <t>d-1,4-C5-hydroperoxyaldehyde;hydroperoxy-carbonyl-Isoprene, Delta-HPALD2</t>
  </si>
  <si>
    <t>C/C(=C/C=O)COO</t>
  </si>
  <si>
    <t>InChI=1S/C5H8O3/c1-5(2-3-6)4-8-7/h2-3,7H,4H2,1H3/b5-2-</t>
  </si>
  <si>
    <t>C5HPALD2</t>
  </si>
  <si>
    <t>ISOP1OOH4CO</t>
  </si>
  <si>
    <t>HPALD2OO</t>
  </si>
  <si>
    <t xml:space="preserve">HPALD2OO;peroxy radical From OH/O2 addition to 1-OOH d-HPALD, </t>
  </si>
  <si>
    <t>C=C(C)C(O[O])C(=O)OO</t>
  </si>
  <si>
    <t>InChI=1S/C5H7O5/c1-3(2)4(9-7)5(6)10-8/h4,8H,1H2,2H3</t>
  </si>
  <si>
    <t>HPALD3</t>
  </si>
  <si>
    <t>Hydroperoxy-carbonyl-Isoprene, 2,1Beta-HPALD;b-2,1-C5-hydroperoxyaldehyde</t>
  </si>
  <si>
    <t>C=CC(C)(C=O)OO</t>
  </si>
  <si>
    <t>InChI=1S/C5H8O3/c1-3-5(2,4-6)8-7/h3-4,7H,1H2,2H3</t>
  </si>
  <si>
    <t>ISOP1CO2OOH</t>
  </si>
  <si>
    <t>HPALD4</t>
  </si>
  <si>
    <t>b-3,4-C5-hydroperoxyaldehyde;hydroperoxy-carbonyl-Isoprene, 3,4-Beta-HPALD</t>
  </si>
  <si>
    <t>C=C(C)C(C=O)OO</t>
  </si>
  <si>
    <t>InChI=1S/C5H8O3/c1-4(2)5(3-6)8-7/h3,5,7H,1H2,2H3</t>
  </si>
  <si>
    <t>ISOP3OOH4CO</t>
  </si>
  <si>
    <t>HPC52O2</t>
  </si>
  <si>
    <t>C5H9O6;OOCC(C(C=O)O)(O[O])C</t>
  </si>
  <si>
    <t>CC(COO)(O[O])C(O)C=O</t>
  </si>
  <si>
    <t>InChI=1S/C5H9O6/c1-5(11-9,3-10-8)4(7)2-6/h2,4,7-8H,3H2,1H3</t>
  </si>
  <si>
    <t>HPETHNL</t>
  </si>
  <si>
    <t>Hydroperoxy ethanal</t>
  </si>
  <si>
    <t>C2H4O3;HOOCH2CHO</t>
  </si>
  <si>
    <t>O=CCOO</t>
  </si>
  <si>
    <t>InChI=1S/C2H4O3/c3-1-2-5-4/h1,4H,2H2</t>
  </si>
  <si>
    <t>HCOCH2OOH</t>
  </si>
  <si>
    <t>HSO3m</t>
  </si>
  <si>
    <t>Hydrogen sulfite</t>
  </si>
  <si>
    <t>HSO3-</t>
  </si>
  <si>
    <t>Hg0</t>
  </si>
  <si>
    <t>Elemental mercury</t>
  </si>
  <si>
    <t>Hg</t>
  </si>
  <si>
    <t>[Hg]</t>
  </si>
  <si>
    <t>InChI=1S/Hg</t>
  </si>
  <si>
    <t>Hg0_ant</t>
  </si>
  <si>
    <t>Elemental mercury from Antarctic subsurface waters</t>
  </si>
  <si>
    <t>Hg0_arc</t>
  </si>
  <si>
    <t>Elemental mercury from Arctic subsurface waters</t>
  </si>
  <si>
    <t>Hg0_atl</t>
  </si>
  <si>
    <t>Elemental mercury from Middle Atlantic subsurface waters</t>
  </si>
  <si>
    <t>Hg0_bb</t>
  </si>
  <si>
    <t>Elemental mercury from Biomass burning</t>
  </si>
  <si>
    <t>Hg0_cam</t>
  </si>
  <si>
    <t>Elemental mercury from Centeral America anthro</t>
  </si>
  <si>
    <t>Hg0_can</t>
  </si>
  <si>
    <t>Elemental mercury from Canada anthro</t>
  </si>
  <si>
    <t>Hg0_eaf</t>
  </si>
  <si>
    <t>Elemental mercury from East Africa anthro</t>
  </si>
  <si>
    <t>Hg0_eeu</t>
  </si>
  <si>
    <t>Elemental mercury from Eastern Europe anthro</t>
  </si>
  <si>
    <t>Hg0_eur</t>
  </si>
  <si>
    <t>Elemental mercury from Europe anthro</t>
  </si>
  <si>
    <t>Hg0_geo</t>
  </si>
  <si>
    <t>Elemental mercury from Geogenic</t>
  </si>
  <si>
    <t>Hg0_jpn</t>
  </si>
  <si>
    <t>Elemental mercury from Japan anthro</t>
  </si>
  <si>
    <t>Hg0_mde</t>
  </si>
  <si>
    <t>Elemental mercury from Middle East anthro</t>
  </si>
  <si>
    <t>Hg0_naf</t>
  </si>
  <si>
    <t>Elemental mercury from North Africa anthro</t>
  </si>
  <si>
    <t>Hg0_nat</t>
  </si>
  <si>
    <t>Elemental mercury from North Atlantic subsurface waters</t>
  </si>
  <si>
    <t>Hg0_npa</t>
  </si>
  <si>
    <t>Elemental mercury from North Pacific subsurface waters</t>
  </si>
  <si>
    <t>Hg0_oce</t>
  </si>
  <si>
    <t>Elemental mercury from Ocean anthro</t>
  </si>
  <si>
    <t>Hg0_ocn</t>
  </si>
  <si>
    <t>Elemental mercury from Indo-Pacific subsurface waters</t>
  </si>
  <si>
    <t>Hg0_saf</t>
  </si>
  <si>
    <t>Elemental mercury from South Africa anthro</t>
  </si>
  <si>
    <t>Hg0_sam</t>
  </si>
  <si>
    <t>Elemental mercury from South America anthro</t>
  </si>
  <si>
    <t>Hg0_sas</t>
  </si>
  <si>
    <t>Elemental mercury from South Asia anthro</t>
  </si>
  <si>
    <t>Hg0_sat</t>
  </si>
  <si>
    <t>Elemental mercury from South Atlantic subsurface waters</t>
  </si>
  <si>
    <t>Hg0_sea</t>
  </si>
  <si>
    <t>Elemental mercury from Southeast Asia anthro</t>
  </si>
  <si>
    <t>Hg0_so</t>
  </si>
  <si>
    <t>Elemental mercury from Organic soils</t>
  </si>
  <si>
    <t>Hg0_sov</t>
  </si>
  <si>
    <t>Elemental mercury from Former USSR anthro</t>
  </si>
  <si>
    <t>Hg0_str</t>
  </si>
  <si>
    <t>Elemental mercury from Stratospheric</t>
  </si>
  <si>
    <t>Hg0_usa</t>
  </si>
  <si>
    <t>Elemental mercury from USA anthro</t>
  </si>
  <si>
    <t>Hg0_waf</t>
  </si>
  <si>
    <t>Elemental mercury from West Africa anthro</t>
  </si>
  <si>
    <t>Hg2</t>
  </si>
  <si>
    <t>Divalent mercury</t>
  </si>
  <si>
    <t>[Hg+2]</t>
  </si>
  <si>
    <t>InChI=1S/Hg/q+2</t>
  </si>
  <si>
    <t>Hg2_ant</t>
  </si>
  <si>
    <t>Divalent mercury from Antarctic subsurface waters</t>
  </si>
  <si>
    <t>Hg2_arc</t>
  </si>
  <si>
    <t>Divalent mercury from Arctic subsurface waters</t>
  </si>
  <si>
    <t>Hg2_atl</t>
  </si>
  <si>
    <t>Divalent mercury from Middle Atlantic subsurface waters</t>
  </si>
  <si>
    <t>Hg2_bb</t>
  </si>
  <si>
    <t>Divalent mercury from Biomass burning</t>
  </si>
  <si>
    <t>Hg2_cam</t>
  </si>
  <si>
    <t>Divalent mercury from Centeral America anthro</t>
  </si>
  <si>
    <t>Hg2_can</t>
  </si>
  <si>
    <t>Divalent mercury from Canada anthro</t>
  </si>
  <si>
    <t>Hg2_eaf</t>
  </si>
  <si>
    <t>Divalent mercury from East Africa anthro</t>
  </si>
  <si>
    <t>Hg2_eeu</t>
  </si>
  <si>
    <t>Divalent mercury from Eastern Europe anthro</t>
  </si>
  <si>
    <t>Hg2_eur</t>
  </si>
  <si>
    <t>Divalent mercury from Europe anthro</t>
  </si>
  <si>
    <t>Hg2_geo</t>
  </si>
  <si>
    <t>Divalent mercury from Geogenic</t>
  </si>
  <si>
    <t>Hg2_jpn</t>
  </si>
  <si>
    <t>Divalent mercury from Japan anthro</t>
  </si>
  <si>
    <t>Hg2_mde</t>
  </si>
  <si>
    <t>Divalent mercury from Middle East anthro</t>
  </si>
  <si>
    <t>Hg2_naf</t>
  </si>
  <si>
    <t>Divalent mercury from North Africa anthro</t>
  </si>
  <si>
    <t>Hg2_nat</t>
  </si>
  <si>
    <t>Divalent mercury from North Atlantic subsurface waters</t>
  </si>
  <si>
    <t>Hg2_npa</t>
  </si>
  <si>
    <t>Divalent mercury from North Pacific subsurface waters</t>
  </si>
  <si>
    <t>Hg2_oce</t>
  </si>
  <si>
    <t>Divalent mercury from Ocean anthro</t>
  </si>
  <si>
    <t>Hg2_ocn</t>
  </si>
  <si>
    <t>Divalent mercury from Indo-Pacific subsurface waters</t>
  </si>
  <si>
    <t>Hg2_saf</t>
  </si>
  <si>
    <t>Divalent mercury from South Africa anthro</t>
  </si>
  <si>
    <t>Hg2_sam</t>
  </si>
  <si>
    <t>Divalent mercury from South America anthro</t>
  </si>
  <si>
    <t>Hg2_sas</t>
  </si>
  <si>
    <t>Divalent mercury from South Asia anthro</t>
  </si>
  <si>
    <t>Hg2_sat</t>
  </si>
  <si>
    <t>Divalent mercury from South Atlantic subsurface waters</t>
  </si>
  <si>
    <t>Hg2_sea</t>
  </si>
  <si>
    <t>Divalent mercury from Southeast Asia anthro</t>
  </si>
  <si>
    <t>Hg2_so</t>
  </si>
  <si>
    <t>Divalent mercury from Organic soils</t>
  </si>
  <si>
    <t>Hg2_sov</t>
  </si>
  <si>
    <t>Divalent mercury from Former USSR anthro</t>
  </si>
  <si>
    <t>Hg2_str</t>
  </si>
  <si>
    <t>Divalent mercury from Stratospheric</t>
  </si>
  <si>
    <t>Hg2_usa</t>
  </si>
  <si>
    <t>Divalent mercury from USA anthro</t>
  </si>
  <si>
    <t>Hg2_waf</t>
  </si>
  <si>
    <t>Divalent mercury from West Africa anthro</t>
  </si>
  <si>
    <t>HgP</t>
  </si>
  <si>
    <t>Particulate mercury</t>
  </si>
  <si>
    <t>HgP_ant</t>
  </si>
  <si>
    <t>Particulate mercury from Antarctic subsurface waters</t>
  </si>
  <si>
    <t>HgP_arc</t>
  </si>
  <si>
    <t>Particulate mercury from Arctic subsurface waters</t>
  </si>
  <si>
    <t>HgP_atl</t>
  </si>
  <si>
    <t>Particulate mercury from Middle Atlantic subsurface waters</t>
  </si>
  <si>
    <t>HgP_bb</t>
  </si>
  <si>
    <t>Particulate mercury from Biomass burning</t>
  </si>
  <si>
    <t>HgP_cam</t>
  </si>
  <si>
    <t>Particulate mercury from Centeral America anthro</t>
  </si>
  <si>
    <t>HgP_can</t>
  </si>
  <si>
    <t>Particulate mercury from Canada anthro</t>
  </si>
  <si>
    <t>HgP_eaf</t>
  </si>
  <si>
    <t>Particulate mercury from East Africa anthro</t>
  </si>
  <si>
    <t>HgP_eeu</t>
  </si>
  <si>
    <t>Particulate mercury from Eastern Europe anthro</t>
  </si>
  <si>
    <t>HgP_eur</t>
  </si>
  <si>
    <t>Particulate mercury from Europe anthro</t>
  </si>
  <si>
    <t>HgP_geo</t>
  </si>
  <si>
    <t>Particulate mercury from Geogenic</t>
  </si>
  <si>
    <t>HgP_jpn</t>
  </si>
  <si>
    <t>Particulate mercury from Japan anthro</t>
  </si>
  <si>
    <t>HgP_mde</t>
  </si>
  <si>
    <t>Particulate mercury from Middle East anthro</t>
  </si>
  <si>
    <t>HgP_naf</t>
  </si>
  <si>
    <t>Particulate mercury from North Africa anthro</t>
  </si>
  <si>
    <t>HgP_nat</t>
  </si>
  <si>
    <t>Particulate mercury from North Atlantic subsurface waters</t>
  </si>
  <si>
    <t>HgP_npa</t>
  </si>
  <si>
    <t>Particulate mercury from North Pacific subsurface waters</t>
  </si>
  <si>
    <t>HgP_oce</t>
  </si>
  <si>
    <t>Particulate mercury from Ocean anthro</t>
  </si>
  <si>
    <t>HgP_ocn</t>
  </si>
  <si>
    <t>Particulate mercury from Indo-Pacific subsurface waters</t>
  </si>
  <si>
    <t>HgP_saf</t>
  </si>
  <si>
    <t>Particulate mercury from South Africa anthro</t>
  </si>
  <si>
    <t>HgP_sam</t>
  </si>
  <si>
    <t>Particulate mercury from South America anthro</t>
  </si>
  <si>
    <t>HgP_sas</t>
  </si>
  <si>
    <t>Particulate mercury from South Asia anthro</t>
  </si>
  <si>
    <t>HgP_sat</t>
  </si>
  <si>
    <t>Particulate mercury from South Atlantic subsurface waters</t>
  </si>
  <si>
    <t>HgP_sea</t>
  </si>
  <si>
    <t>Particulate mercury from Southeast Asia anthro</t>
  </si>
  <si>
    <t>HgP_so</t>
  </si>
  <si>
    <t>Particulate mercury from Organic soils</t>
  </si>
  <si>
    <t>HgP_sov</t>
  </si>
  <si>
    <t>Particulate mercury from Former USSR anthro</t>
  </si>
  <si>
    <t>HgP_str</t>
  </si>
  <si>
    <t>Particulate mercury from Stratospheric</t>
  </si>
  <si>
    <t>HgP_usa</t>
  </si>
  <si>
    <t>Particulate mercury from USA anthro</t>
  </si>
  <si>
    <t>HgP_waf</t>
  </si>
  <si>
    <t>Particulate mercury from West Africa anthro</t>
  </si>
  <si>
    <t>Atomic iodine</t>
  </si>
  <si>
    <t>[I]</t>
  </si>
  <si>
    <t>InChI=1S/I</t>
  </si>
  <si>
    <t>I2</t>
  </si>
  <si>
    <t>Molecular iodine</t>
  </si>
  <si>
    <t>II</t>
  </si>
  <si>
    <t>InChI=1S/I2/c1-2</t>
  </si>
  <si>
    <t>I2O2</t>
  </si>
  <si>
    <t>Diiodine dioxide</t>
  </si>
  <si>
    <t>IOOI</t>
  </si>
  <si>
    <t>InChI=1S/I2O2/c1-3-4-2</t>
  </si>
  <si>
    <t>I2O3</t>
  </si>
  <si>
    <t>Diiodine trioxide</t>
  </si>
  <si>
    <t>IOOOI</t>
  </si>
  <si>
    <t>InChI=1S/I2O3/c1-3-5-4-2</t>
  </si>
  <si>
    <t>I2O4</t>
  </si>
  <si>
    <t>Diiodine tetraoxide</t>
  </si>
  <si>
    <t>[O-][I+]O[I+2]([O-])[O-]</t>
  </si>
  <si>
    <t>InChI=1S/I2O4/c3-1-6-2(4)5</t>
  </si>
  <si>
    <t>IAP</t>
  </si>
  <si>
    <t>Peroxide from IAO2</t>
  </si>
  <si>
    <t>HOCH2C(CH3)(OOH)CH(OH)CHO</t>
  </si>
  <si>
    <t>IBr</t>
  </si>
  <si>
    <t>Iodine monobromide</t>
  </si>
  <si>
    <t>BrI</t>
  </si>
  <si>
    <t>InChI=1S/BrI/c1-2</t>
  </si>
  <si>
    <t>ICHE</t>
  </si>
  <si>
    <t>Isoprene hydroxy-carbonyl-epoxides</t>
  </si>
  <si>
    <t>CC1(C(=O)CO)CO1</t>
  </si>
  <si>
    <t>InChI=1S/C5H8O3/c1-5(3-8-5)4(7)2-6/h6H,2-3H2,1H3</t>
  </si>
  <si>
    <t>ICHOO</t>
  </si>
  <si>
    <t>Peroxy radical From IEPOXD // Peroxy radical From OH/O2 addition to Beta-HC5;Peroxy radical from IEPOXD</t>
  </si>
  <si>
    <t>C5H9O5</t>
  </si>
  <si>
    <t>CC(CO)(O[O])C(=O)CO</t>
  </si>
  <si>
    <t>InChI=1S/C5H9O5/c1-5(3-7,10-9)4(8)2-6/h6-7H,2-3H2,1H3</t>
  </si>
  <si>
    <t>C59O2</t>
  </si>
  <si>
    <t>ICN</t>
  </si>
  <si>
    <t xml:space="preserve">Lumped isoprene carbonyl-nitrates;Nitrooxy-carbonyl-Isoprene;Nitrooxy-carbonyl-Isoprene, 1,4 ICN ;nitrooxy-carbonyl-Isoprene, 3,4 ICN </t>
  </si>
  <si>
    <t>C5H7NO4</t>
  </si>
  <si>
    <t>InChI=1S/C5H7NO4/c1-4(2)5(7)3-10-6(8)9/h1,3H2,2H3;InChI=1S/C5H7NO4/c1-5(2-3-7)4-10-6(8)9/h2-3H,4H2,1H3;InChI=1S/C5H7NO4/c1-5(2-3-7)4-10-6(8)9/h2-3H,4H2,1H3/b5-2+;InChI=1S/C5H7NO4/c1-5(4-7)2-3-10-6(8)9/h2,4H,3H2,1H3/b5-2+</t>
  </si>
  <si>
    <t>NC4CHO;None</t>
  </si>
  <si>
    <t>ISOP1CO4N;ISOP1N4CO;ISOP3CO4N</t>
  </si>
  <si>
    <t>0% ICN;30% ICN;70% of ICN</t>
  </si>
  <si>
    <t>ICNOO</t>
  </si>
  <si>
    <t>Peroxy radical From H-abstraction From ICN;Peroxy radicals from ICN</t>
  </si>
  <si>
    <t>C5H6NO6;C5H8NO7</t>
  </si>
  <si>
    <t>InChI=1S/C5H6NO6/c1-4(2-5(7)12-10)3-11-6(8)9/h2H,3H2,1H3;InChI=1S/C5H6NO6/c1-4(2-5(7)12-10)3-11-6(8)9/h2H,3H2,1H3/b4-2+;InChI=1S/C5H6NO6/c1-4(5(7)12-10)2-3-11-6(8)9/h2H,3H2,1H3/b4-2+</t>
  </si>
  <si>
    <t>NC4CO3;None</t>
  </si>
  <si>
    <t>ICN4OO;ICN5OO</t>
  </si>
  <si>
    <t>30% of ICNOO;70% of ICNOO</t>
  </si>
  <si>
    <t>ICPDH</t>
  </si>
  <si>
    <t>Isoprene dihydroxy hydroperoxycarbonyl;Isoprene dihydroxy hydroperoxycarbonyl / Lumped tetrafunctionalized Isoprene: carbonyl-hydroperoxy-diol</t>
  </si>
  <si>
    <t>C5H10O5</t>
  </si>
  <si>
    <t>InChI=1S/C5H10O5/c1-5(3-7,10-9)4(8)2-6/h2,4,7-9H,3H2,1H3;InChI=1S/C5H10O5/c1-5(3-7,10-9)4(8)2-6/h3-4,6,8-9H,2H2,1H3;InChI=1S/C5H10O5/c1-5(3-7,10-9)4(8)2-6/h6-7,9H,2-3H2,1H3;InChI=1S/C5H10O5/c1-5(8,3-10-9)4(7)2-6/h6,8-9H,2-3H2,1H3;InChI=1S/C5H10O5/c1-5(8,3-7)4(2-6)10-9/h2,4,7-9H,3H2,1H3;InChI=1S/C5H10O5/c1-5(8,3-7)4(2-6)10-9/h3-4,6,8-9H,2H2,1H3</t>
  </si>
  <si>
    <t>C57AOOH;C57OOH;C58AOOH;C58OOH;C59OOH;None</t>
  </si>
  <si>
    <t>ICl</t>
  </si>
  <si>
    <t>Iodine monochloride</t>
  </si>
  <si>
    <t>ClI</t>
  </si>
  <si>
    <t>InChI=1S/ClI/c1-2</t>
  </si>
  <si>
    <t>IDC</t>
  </si>
  <si>
    <t>Dicarbonyl-Isoprene;Lumped isoprene dicarbonyls</t>
  </si>
  <si>
    <t>InChI=1S/C5H6O2/c1-5(4-7)2-3-6/h2-4H,1H3;InChI=1S/C5H6O2/c1-5(4-7)2-3-6/h2-4H,1H3/b5-2-</t>
  </si>
  <si>
    <t>C4MDIAL</t>
  </si>
  <si>
    <t>ISOP1CO4CO</t>
  </si>
  <si>
    <t>IDCHP</t>
  </si>
  <si>
    <t>Isoprene dicarbonyl hydroxy dihydroperoxide;Isoprene dicarbonyl hydroxy dihydroperoxide / Lumped tetrafunctionalized Isoprene: hydroxy-hydroperoxy-dialdehyde</t>
  </si>
  <si>
    <t>C5H8O5</t>
  </si>
  <si>
    <t>InChI=1S/C5H8O5/c1-5(3-7,10-9)4(8)2-6/h2,7,9H,3H2,1H3;InChI=1S/C5H8O5/c1-5(3-7,10-9)4(8)2-6/h2-4,8-9H,1H3;InChI=1S/C5H8O5/c1-5(8,3-7)4(2-6)10-9/h2-4,8-9H,1H3</t>
  </si>
  <si>
    <t>C4MALOHOOH;None</t>
  </si>
  <si>
    <t>IDHDP</t>
  </si>
  <si>
    <t>From 4,3 ISOPOOH + OH + HO2;Isoprene dicarbonyl hydroxy dihydroperoxide / Lumped tetrafunctionalized Isoprene: hydroxy-hydroperoxy-dialdehyde;Isoprene dihydroxy dihydroperoxide</t>
  </si>
  <si>
    <t>C5H12O6</t>
  </si>
  <si>
    <t>InChI=1S/C5H12O6/c1-5(3-6,11-9)4(7)2-10-8/h4,6-9H,2-3H2,1H3;InChI=1S/C5H12O6/c1-5(3-7,11-9)4(2-6)10-8/h4,6-9H,2-3H2,1H3</t>
  </si>
  <si>
    <t>IDHNBOO</t>
  </si>
  <si>
    <t>From 2,1-IHN + OH;From 3,4IHN + OH ;Peroxy radicals From INPB / Lumped peroxy radicals From IHNE;Peroxy radicals from INPB</t>
  </si>
  <si>
    <t>C5H10NO7;C5H8NO7</t>
  </si>
  <si>
    <t>InChI=1S/C5H10NO7/c1-5(8,3-12-6(9)10)4(7)2-13-11/h4,7-8H,2-3H2,1H3;InChI=1S/C5H10NO7/c1-5(8,3-13-11)4(7)2-12-6(9)10/h4,7-8H,2-3H2,1H3;InChI=1S/C5H8NO7/c1-5(8,3-12-6(9)10)4(7)2-13-11/h8H,2-3H2,1H3</t>
  </si>
  <si>
    <t>IDHNBOO;IHNEOO</t>
  </si>
  <si>
    <t>IDHNDOO1</t>
  </si>
  <si>
    <t>From 4,1, IHN + OH ;Peroxy radicals from INPD</t>
  </si>
  <si>
    <t>C5H10NO7</t>
  </si>
  <si>
    <t>InChI=1S/C5H10NO7/c1-5(13-11,4(8)2-7)3-12-6(9)10/h4,7-8H,2-3H2,1H3;InChI=1S/C5H10NO7/c1-5(8,3-12-6(9)10)4(2-7)13-11/h4,7-8H,2-3H2,1H3</t>
  </si>
  <si>
    <t>INCO2;None</t>
  </si>
  <si>
    <t>IDHNDOO2</t>
  </si>
  <si>
    <t>From 1,4-IHN + OH;Peroxy radicals from INPD</t>
  </si>
  <si>
    <t>InChI=1S/C5H10NO7/c1-5(3-7,13-11)4(8)2-12-6(9)10/h4,7-8H,2-3H2,1H3;InChI=1S/C5H10NO7/c1-5(8,3-7)4(13-11)2-12-6(9)10/h4,7-8H,2-3H2,1H3</t>
  </si>
  <si>
    <t>INAO2;None</t>
  </si>
  <si>
    <t>IDHPE</t>
  </si>
  <si>
    <t>From 4,3 ISOPOOH + OH &amp;  1,5 H-Shift;From 4,3 ISOPOOH + OH &amp;  1,6 H-Shift;Isoprene dihydroxy hydroperoxy epoxide;Lumped tetrafunctionalized Isoprene: dihydroxy-hydroperoxy-epoxide</t>
  </si>
  <si>
    <t>InChI=1S/C5H10O5/c1-5(2-6,10-8)3-4(7)9-3/h3-4,6-8H,2H2,1H3;InChI=1S/C5H10O5/c1-5(4(7)10-5)3(6)2-9-8/h3-4,6-8H,2H2,1H3;InChI=1S/C5H10O5/c1-5(4(7)9-5)3(2-6)10-8/h3-4,6-8H,2H2,1H3;InChI=1S/C5H10O5/c1-5(7,2-9-8)3-4(6)10-3/h3-4,6-8H,2H2,1H3</t>
  </si>
  <si>
    <t>IDN</t>
  </si>
  <si>
    <t>1,2 IDN;1,4-IDN;3,4-IDN;From (E)- 1,4, IPN +NO;From 1,2 IHN + OH + NO ;From 1,4 IHN +OH + NO ;From 4,1 IHN + OH + NO ;From 4,1 IHN or 4,3 IHN + OH + NO ;From 4,3 IHN + OH + NO ;From ISOP+NO3+NO (via IHNB);Lumped isoprene dinitrates;Lumped tetrafunctionalized Isoprene: carbonyl-hydroxy-dinitrate;Lumped tetrafunctionalized Isoprene: hydroxy-hydroperoxy-dinitrate</t>
  </si>
  <si>
    <t>C5H10N2O8;C5H10N2O9;C5H8N2O6;C5H8N2O8</t>
  </si>
  <si>
    <t>InChI=1S/C5H10N2O8/c1-5(3-8,15-7(12)13)4(9)2-14-6(10)11/h4,8-9H,2-3H2,1H3;InChI=1S/C5H10N2O8/c1-5(3-9,15-7(12)13)4(2-8)14-6(10)11/h4,8-9H,2-3H2,1H3;InChI=1S/C5H10N2O8/c1-5(4(9)2-8,15-7(12)13)3-14-6(10)11/h4,8-9H,2-3H2,1H3;InChI=1S/C5H10N2O8/c1-5(9,3-14-6(10)11)4(2-8)15-7(12)13/h4,8-9H,2-3H2,1H3;InChI=1S/C5H10N2O8/c1-5(9,3-15-7(12)13)4(8)2-14-6(10)11/h4,8-9H,2-3H2,1H3;InChI=1S/C5H10N2O8/c1-5(9,3-8)4(15-7(12)13)2-14-6(10)11/h4,8-9H,2-3H2,1H3;InChI=1S/C5H10N2O9/c1-5(16-13,3-14-6(9)10)4(2-8)15-7(11)12/h4,8,13H,2-3H2,1H3;InChI=1S/C5H10N2O9/c1-5(16-13,3-15-7(11)12)4(8)2-14-6(9)10/h4,8,13H,2-3H2,1H3;InChI=1S/C5H10N2O9/c1-5(16-7(11)12,3-14-6(9)10)4(2-8)15-13/h4,8,13H,2-3H2,1H3;InChI=1S/C5H10N2O9/c1-5(16-7(11)12,3-14-6(9)10)4(8)2-15-13/h4,8,13H,2-3H2,1H3;InChI=1S/C5H10N2O9/c1-5(3-15-13,16-7(11)12)4(8)2-14-6(9)10/h4,8,13H,2-3H2,1H3;InChI=1S/C5H10N2O9/c1-5(3-8,16-13)4(15-7(11)12)2-14-6(9)10/h4,8,13H,2-3H2,1H3;InChI=1S/C5H10N2O9/c1-5(3-8,16-7(11)12)4(15-13)2-14-6(9)10/h4,8,13H,2-3H2,1H3;InChI=1S/C5H10N2O9/c1-5(8,3-14-6(9)10)4(2-15-13)16-7(11)12/h4,8,13H,2-3H2,1H3;InChI=1S/C5H10N2O9/c1-5(8,3-15-13)4(16-7(11)12)2-14-6(9)10/h4,8,13H,2-3H2,1H3;InChI=1S/C5H10N2O9/c1-5(8,3-15-7(11)12)4(16-13)2-14-6(9)10/h4,8,13H,2-3H2,1H3;InChI=1S/C5H8N2O6/c1-3-5(2,13-7(10)11)4-12-6(8)9/h3H,1,4H2,2H3;InChI=1S/C5H8N2O6/c1-4(2)5(13-7(10)11)3-12-6(8)9/h5H,1,3H2,2H3;InChI=1S/C5H8N2O6/c1-5(4-13-7(10)11)2-3-12-6(8)9/h2H,3-4H2,1H3;InChI=1S/C5H8N2O6/c1-5(4-13-7(10)11)2-3-12-6(8)9/h2H,3-4H2,1H3/b5-2+;InChI=1S/C5H8N2O8/c1-5(3-8,15-7(12)13)4(9)2-14-6(10)11/h3-4,9H,2H2,1H3;InChI=1S/C5H8N2O8/c1-5(3-8,15-7(12)13)4(9)2-14-6(10)11/h8H,2-3H2,1H3;InChI=1S/C5H8N2O8/c1-5(9,3-14-6(10)11)4(2-8)15-7(12)13/h2,4,9H,3H2,1H3;InChI=1S/C5H8N2O8/c1-5(9,3-15-7(12)13)4(8)2-14-6(10)11/h9H,2-3H2,1H3</t>
  </si>
  <si>
    <t>INANCHO;INANCO;INANO3;INB1NO3;INCNCHO;INCNO3;NISOPNO3;None</t>
  </si>
  <si>
    <t>ICHDN;IDHDN;IDN;IHPDN</t>
  </si>
  <si>
    <t>0 % of IDN;0% of IDN;50% of IDN</t>
  </si>
  <si>
    <t>IDNOO</t>
  </si>
  <si>
    <t>C5H9N2O6;C5H9N2O8</t>
  </si>
  <si>
    <t>CC(CCO[O])(CO[N+](=O)[O-])O[N+](=O)[O-]</t>
  </si>
  <si>
    <t>InChI=1S/C5H9N2O8/c1-5(2-3-14-12,15-7(10)11)4-13-6(8)9/h2-4H2,1H3</t>
  </si>
  <si>
    <t>IEPOX</t>
  </si>
  <si>
    <t>Isoprene epoxide</t>
  </si>
  <si>
    <t>C5H10O3</t>
  </si>
  <si>
    <t>InChI=1S/C5H10O3/c1-5(3-7)4(2-6)8-5/h4,6-7H,2-3H2,1H3;InChI=1S/C5H10O3/c1-5(7,3-6)4-2-8-4/h4,6-7H,2-3H2,1H3</t>
  </si>
  <si>
    <t>IEPOXD;IEPOXc;IEPOXt;pIEPOXD;pIEPOXc;pIEPOXt</t>
  </si>
  <si>
    <t>BUOHFORM;BUT2CO3H;C3M3CHOOOH;C3ME3CO3H;C42CHO;C4CHOAOOH;C4CHOBOOH;C517OH;C51OH;C524OH;C53OH;CHOC4OOH;DIEKAOOH;DIEKBOOH;H13C43CHO;HM22CO2H;HO13CO4C5;HO14CO2C5;HO14CO3C5;HO24C4CHO;HO2C43CO2H;HO2C4CO2H;HOBUT2CO2H;IC4CHOAOOH;IEPOXA;IEPOXB;IEPOXC;IPRACBOH;IPRACOH;ISOP34OOH;ISOPAOOH;ISOPBOOH;ISOPCOOH;ISOPDOOH;MBOACO;MBOBCO;MIPKAOOH;MIPKBOOH;MPRKAOOH;MPRKBOOH;MTBEACHOHO;MTBEBCO2H;NPRACAOH;NPRACBOH;NPRACCOH;PE2ONE1OOH;PERPENACID;TBUTCO3H</t>
  </si>
  <si>
    <t>IEPOXA</t>
  </si>
  <si>
    <t>Delta1-IEPOX;trans-Beta isoprene epoxydiol;trans-Beta-IEPOX</t>
  </si>
  <si>
    <t>C4H10O3;C5H10O3</t>
  </si>
  <si>
    <t>0.5IEPOXB;IEPOXA;IEPOXB</t>
  </si>
  <si>
    <t>IEPOXD;IEPOXt</t>
  </si>
  <si>
    <t>IEPOXA;IEPOXD</t>
  </si>
  <si>
    <t>IEPOXAOO</t>
  </si>
  <si>
    <t>Peroxy radical From trans-Beta Isoprene Epoxydiol (IEPOX) ;Peroxy radical from trans-Beta isoprene epoxydiol</t>
  </si>
  <si>
    <t>C5H8O5;C5H9O5</t>
  </si>
  <si>
    <t>CC(C=O)(O[O])C(O)CO</t>
  </si>
  <si>
    <t>InChI=1S/C5H9O5/c1-5(3-7,10-9)4(8)2-6/h3-4,6,8H,2H2,1H3</t>
  </si>
  <si>
    <t>C57O2</t>
  </si>
  <si>
    <t>IEPOXB</t>
  </si>
  <si>
    <t>cis-Beta Isoprene Epoxydiol / cis-Beta-IEPOX;cis-Beta isoprene epoxydiol</t>
  </si>
  <si>
    <t>CC1(CO)OC1CO</t>
  </si>
  <si>
    <t>InChI=1S/C5H10O3/c1-5(3-7)4(2-6)8-5/h4,6-7H,2-3H2,1H3</t>
  </si>
  <si>
    <t>0.5IEPOXB;IEPOXB</t>
  </si>
  <si>
    <t>IEPOXc</t>
  </si>
  <si>
    <t>IEPOXBOO</t>
  </si>
  <si>
    <t>Peroxy radical From cis-Beta Isoprene Epoxydiol (IEPOX);peroxy radical from cis-Beta isoprene epoxydiol</t>
  </si>
  <si>
    <t>CC(O)(CO)C(C=O)O[O]</t>
  </si>
  <si>
    <t>InChI=1S/C5H9O5/c1-5(8,3-7)4(2-6)10-9/h2,4,7-8H,3H2,1H3</t>
  </si>
  <si>
    <t>C58AO2</t>
  </si>
  <si>
    <t>IEPOXD</t>
  </si>
  <si>
    <t>Delta isoprene epoxydiol;Delta1-IEPOX;Delta4-IEPOX</t>
  </si>
  <si>
    <t>InChI=1S/C5H10O3/c1-5(3-8-5)4(7)2-6/h4,6-7H,2-3H2,1H3;InChI=1S/C5H10O3/c1-5(7,3-6)4-2-8-4/h4,6-7H,2-3H2,1H3</t>
  </si>
  <si>
    <t>IEPOXA;IEPOXC</t>
  </si>
  <si>
    <t>IEPOXOO</t>
  </si>
  <si>
    <t>RO2 from IEPOX</t>
  </si>
  <si>
    <t>IHN1</t>
  </si>
  <si>
    <t>E-Delta 4,1, IHN;Isoprene-d-4,1-hydroxynitrate;Z-Delta 4,1, IHN</t>
  </si>
  <si>
    <t>C5H9NO4</t>
  </si>
  <si>
    <t>InChI=1S/C5H9NO4/c1-5(2-3-7)4-10-6(8)9/h2,7H,3-4H2,1H3;InChI=1S/C5H9NO4/c1-5(2-3-7)4-10-6(8)9/h2,7H,3-4H2,1H3/b5-2+;InChI=1S/C5H9NO4/c1-5(2-3-7)4-10-6(8)9/h2,7H,3-4H2,1H3/b5-2-</t>
  </si>
  <si>
    <t>ISOPCNO3;None</t>
  </si>
  <si>
    <t>ISOP1N4OH</t>
  </si>
  <si>
    <t>IHN2</t>
  </si>
  <si>
    <t>Hydroxy-nitrooxy-Isoprene, 1,2-Beta-IHN ;Isoprene-b-1,2-hydroxynitrate</t>
  </si>
  <si>
    <t>C=CC(C)(CO)O[N+](=O)[O-]</t>
  </si>
  <si>
    <t>InChI=1S/C5H9NO4/c1-3-5(2,4-7)10-6(8)9/h3,7H,1,4H2,2H3</t>
  </si>
  <si>
    <t>ISOPBNO3;pISOPBNO3;pISOPBNO3_DIOL</t>
  </si>
  <si>
    <t>ISOP1OH2N</t>
  </si>
  <si>
    <t>IHN3</t>
  </si>
  <si>
    <t>Isoprene-b-4,3-hydroxynitrate;hydroxy-nitrooxy-Isoprene, Beta-4,3-IHN</t>
  </si>
  <si>
    <t>C=C(C)C(CO)O[N+](=O)[O-]</t>
  </si>
  <si>
    <t>InChI=1S/C5H9NO4/c1-4(2)5(3-7)10-6(8)9/h5,7H,1,3H2,2H3</t>
  </si>
  <si>
    <t>ISOPDNO3;pISOPDNO3;pISOPDNO3_DIOL</t>
  </si>
  <si>
    <t>ISOP3N4OH</t>
  </si>
  <si>
    <t>IHN4</t>
  </si>
  <si>
    <t>E-1,4-Delta-IHN;Isoprene-d-4,1-hydroxynitrate;Z-1,4-Delta-IHN</t>
  </si>
  <si>
    <t>InChI=1S/C5H9NO4/c1-5(4-7)2-3-10-6(8)9/h2,7H,3-4H2,1H3;InChI=1S/C5H9NO4/c1-5(4-7)2-3-10-6(8)9/h2,7H,3-4H2,1H3/b5-2+;InChI=1S/C5H9NO4/c1-5(4-7)2-3-10-6(8)9/h2,7H,3-4H2,1H3/b5-2-</t>
  </si>
  <si>
    <t>ISOPANO3;None</t>
  </si>
  <si>
    <t>ISOP1OH4N</t>
  </si>
  <si>
    <t>IHOO1</t>
  </si>
  <si>
    <t>Beta 1-OH, 2-OO ISOPOO;E -Delta 1-OH, 4OO ISOPOO;Peroxy radical from OH addition to isoprene at C1;Z -Delta 1-OH, 4OO ISOPOO</t>
  </si>
  <si>
    <t>C5H9O3</t>
  </si>
  <si>
    <t>InChI=1S/C5H9O3/c1-3-5(2,4-6)8-7/h3,6H,1,4H2,2H3;InChI=1S/C5H9O3/c1-5(4-6)2-3-8-7/h2,6H,3-4H2,1H3/b5-2+;InChI=1S/C5H9O3/c1-5(4-6)2-3-8-7/h2,6H,3-4H2,1H3/b5-2-</t>
  </si>
  <si>
    <t>CISOPAO2;ISOPAO2;ISOPBO2</t>
  </si>
  <si>
    <t>IHOO4</t>
  </si>
  <si>
    <t>Beta 4-OH, 3-OO ISOPOO;E -Delta 4-OH, 1-OO ISOPOO;Peroxy radical from OH addition to isoprene at C4;Z -Delta 4-OH, 1-OO ISOPOO</t>
  </si>
  <si>
    <t>InChI=1S/C5H9O3/c1-4(2)5(3-6)8-7/h5-6H,1,3H2,2H3;InChI=1S/C5H9O3/c1-5(2-3-6)4-8-7/h2,6H,3-4H2,1H3/b5-2+;InChI=1S/C5H9O3/c1-5(2-3-6)4-8-7/h2,6H,3-4H2,1H3/b5-2-</t>
  </si>
  <si>
    <t>CISOPCO2;ISOPCO2;ISOPDO2</t>
  </si>
  <si>
    <t>IHPNBOO</t>
  </si>
  <si>
    <t>From 2,1-IPN + OH;From 2,1-IPN + OH ;From 3,4-IPN + OH ;Peroxy radicals from INPB</t>
  </si>
  <si>
    <t>C5H10NO8</t>
  </si>
  <si>
    <t>InChI=1S/C5H10NO8/c1-5(14-11,3-12-6(8)9)4(2-7)13-10/h4,7,10H,2-3H2,1H3;InChI=1S/C5H10NO8/c1-5(14-11,3-12-6(8)9)4(2-7)13-10/h4,7,11H,2-3H2,1H3;InChI=1S/C5H10NO8/c1-5(14-11,3-12-6(8)9)4(7)2-13-10/h4,7,11H,2-3H2,1H3;InChI=1S/C5H10NO8/c1-5(3-7,14-11)4(13-10)2-12-6(8)9/h4,7,10H,2-3H2,1H3;InChI=1S/C5H10NO8/c1-5(3-7,14-11)4(13-10)2-12-6(8)9/h4,7,11H,2-3H2,1H3;InChI=1S/C5H10NO8/c1-5(7,3-13-10)4(14-11)2-12-6(8)9/h4,7,11H,2-3H2,1H3</t>
  </si>
  <si>
    <t>IHPNDOO</t>
  </si>
  <si>
    <t>From (E)-1,4-IPN;From (E)-4,1-IPN;Peroxy radicals from INPD</t>
  </si>
  <si>
    <t>InChI=1S/C5H10NO8/c1-5(14-11,3-12-6(8)9)4(7)2-13-10/h4,7,10H,2-3H2,1H3;InChI=1S/C5H10NO8/c1-5(14-11,3-13-10)4(7)2-12-6(8)9/h4,7,10H,2-3H2,1H3;InChI=1S/C5H10NO8/c1-5(14-11,3-13-10)4(7)2-12-6(8)9/h4,7,11H,2-3H2,1H3;InChI=1S/C5H10NO8/c1-5(7,3-12-6(8)9)4(14-11)2-13-10/h4,7,10H,2-3H2,1H3;InChI=1S/C5H10NO8/c1-5(7,3-12-6(8)9)4(14-11)2-13-10/h4,7,11H,2-3H2,1H3;InChI=1S/C5H10NO8/c1-5(7,3-13-10)4(14-11)2-12-6(8)9/h4,7,10H,2-3H2,1H3</t>
  </si>
  <si>
    <t>IHPOO1</t>
  </si>
  <si>
    <t>Peroxy radical From ISOPOOH / peroxy radical from OH/O2 addition to ISOPOOOH;Peroxy radical from ISOPOOH</t>
  </si>
  <si>
    <t>C5H11O6</t>
  </si>
  <si>
    <t>InChI=1S/C5H11O6/c1-5(3-6,11-9)4(7)2-10-8/h4,6-7,9H,2-3H2,1H3;InChI=1S/C5H11O6/c1-5(3-6,11-9)4(7)2-10-8/h4,6-8H,2-3H2,1H3</t>
  </si>
  <si>
    <t>IHPOO2</t>
  </si>
  <si>
    <t>Peroxy radical from ISOPOOH;Peroxy radical from ISOPOOH / peroxy radical From OH/O2 addition to ISOPOOOH</t>
  </si>
  <si>
    <t>InChI=1S/C5H11O6/c1-5(7,3-10-8)4(2-6)11-9/h4,6-7,9H,2-3H2,1H3;InChI=1S/C5H11O6/c1-5(7,3-10-8)4(2-6)11-9/h4,6-8H,2-3H2,1H3</t>
  </si>
  <si>
    <t>IHPOO3</t>
  </si>
  <si>
    <t>Peroxy radical From ISOPOOH / peroxy radical from OH/O2 addition to ISOPOOOH;Peroxy radical from ISOPOOH;Peroxy radical from ISOPOOH / peroxy radical From OH/O2 addition to ISOPOOOH</t>
  </si>
  <si>
    <t>InChI=1S/C5H11O6/c1-5(3-7,11-9)4(2-6)10-8/h4,6-7,9H,2-3H2,1H3;InChI=1S/C5H11O6/c1-5(3-7,11-9)4(2-6)10-8/h4,6-8H,2-3H2,1H3</t>
  </si>
  <si>
    <t>IMAE</t>
  </si>
  <si>
    <t>C4 epoxide from oxidation of PMN</t>
  </si>
  <si>
    <t>ACETETCHO;BIACETOH;C3DBCO3H;C3MDIALOH;CCOCOCOH;CHOC2CO2H;CO13C4OH;CO2C3CO2H;CO2C3OO;CO2C3OOA;CO2C3OOB;CO2H3CHO;COO2C3CHO;ECOCO2H;EGLYOO;EGLYOOB;EGLYOOD;EOCOCHO;HC3CO2H;HMACO2H;HMML;HO1CO3CHO;MACO3H;MAE;MCOCOMOX;MEK2OO;MEK2OOA;MEK2OOC;METHCOACET;MVKOOH;PRONFORM;PRPAL2CO2H;pHMML</t>
  </si>
  <si>
    <t>INA</t>
  </si>
  <si>
    <t>Alkoxy radical from INO2D;Alkoxy radical from Isoprene + NO3</t>
  </si>
  <si>
    <t>C5H8NO4</t>
  </si>
  <si>
    <t>InChI=1S/C5H8NO4/c1-5(2-3-7)4-10-6(8)9/h2H,3-4H2,1H3;InChI=1S/C5H8NO4/c1-5(2-3-7)4-10-6(8)9/h2H,3-4H2,1H3/b5-2+</t>
  </si>
  <si>
    <t>NISOPO</t>
  </si>
  <si>
    <t>INO</t>
  </si>
  <si>
    <t>INDIOL</t>
  </si>
  <si>
    <t>Generic aerosol-phase organonitrate hydrolysis product</t>
  </si>
  <si>
    <t>Alkoxy radical from Isoprene + NO3;Nitrosyl iodide</t>
  </si>
  <si>
    <t>C5H8NO4;INO</t>
  </si>
  <si>
    <t>C/C(=C\C[O])CO[N+](=O)[O-]</t>
  </si>
  <si>
    <t>InChI=1S/C5H8NO4/c1-5(2-3-7)4-10-6(8)9/h2H,3-4H2,1H3/b5-2+</t>
  </si>
  <si>
    <t>INO2</t>
  </si>
  <si>
    <t>RO2 from ISOP+NO3</t>
  </si>
  <si>
    <t>O2NOCH2C(OO)(CH3)CH=CH2</t>
  </si>
  <si>
    <t>INO2B</t>
  </si>
  <si>
    <t>Beta-1,2-INO2,;Beta-4,3,INO2;beta-peroxy radicals from isoprene + NO3</t>
  </si>
  <si>
    <t>C5H8NO5</t>
  </si>
  <si>
    <t>InChI=1S/C5H8NO5/c1-3-5(2,11-9)4-10-6(7)8/h3H,1,4H2,2H3;InChI=1S/C5H8NO5/c1-4(2)5(11-9)3-10-6(7)8/h5H,1,3H2,2H3</t>
  </si>
  <si>
    <t>INO2D</t>
  </si>
  <si>
    <t>Delta-1,4-INO2,;Delta-4,1-INO2;delta-peroxy radicals from isoprene + NO3</t>
  </si>
  <si>
    <t>InChI=1S/C5H8NO5/c1-5(2-3-11-9)4-10-6(7)8/h2H,3-4H2,1H3;InChI=1S/C5H8NO5/c1-5(2-3-11-9)4-10-6(7)8/h2H,3-4H2,1H3/b5-2+;InChI=1S/C5H8NO5/c1-5(4-11-9)2-3-10-6(7)8/h2H,3-4H2,1H3/b5-2+</t>
  </si>
  <si>
    <t>NISOPO2;None</t>
  </si>
  <si>
    <t>INPB</t>
  </si>
  <si>
    <t xml:space="preserve"> 3,4-Beta-IPN;2,1Beta-IPN,;Beta-nitrooxy alcohols From Isoprene + NO3, 2,1-Beta-IHN;Beta-nitrooxy alcohols From Isoprene + NO3, 3,4-Beta-IHN;Lumped b-hydroperoxy isoprene nitrates</t>
  </si>
  <si>
    <t>C5H9NO4;C5H9NO5</t>
  </si>
  <si>
    <t>InChI=1S/C5H9NO4/c1-3-5(2,7)4-10-6(8)9/h3,7H,1,4H2,2H3;InChI=1S/C5H9NO4/c1-4(2)5(7)3-10-6(8)9/h5,7H,1,3H2,2H3;InChI=1S/C5H9NO5/c1-3-5(2,11-9)4-10-6(7)8/h3,9H,1,4H2,2H3;InChI=1S/C5H9NO5/c1-4(2)5(11-9)3-10-6(7)8/h5,9H,1,3H2,2H3</t>
  </si>
  <si>
    <t>ISOP34NO3;None</t>
  </si>
  <si>
    <t>IHNB;INPB</t>
  </si>
  <si>
    <t>33% of INPB;67% of INPB</t>
  </si>
  <si>
    <t>INPD</t>
  </si>
  <si>
    <t>1,4-Delta-IPN;4,1-Delta IPN;Lumped d-hydroperoxy isoprene nitrates</t>
  </si>
  <si>
    <t>C5H9NO5</t>
  </si>
  <si>
    <t>InChI=1S/C5H9NO5/c1-5(2-3-11-9)4-10-6(7)8/h2,9H,3-4H2,1H3;InChI=1S/C5H9NO5/c1-5(2-3-11-9)4-10-6(7)8/h2,9H,3-4H2,1H3/b5-2+;InChI=1S/C5H9NO5/c1-5(4-11-9)2-3-10-6(7)8/h2,9H,3-4H2,1H3/b5-2+</t>
  </si>
  <si>
    <t>NISOPOOH;None</t>
  </si>
  <si>
    <t>INPN</t>
  </si>
  <si>
    <t>Peroxide from INO2</t>
  </si>
  <si>
    <t>O2NOCH2C(OOH)(CH3)CH=CH2</t>
  </si>
  <si>
    <t>IO</t>
  </si>
  <si>
    <t>Iodine monoxide</t>
  </si>
  <si>
    <t>[O]I</t>
  </si>
  <si>
    <t>InChI=1S/IO/c1-2</t>
  </si>
  <si>
    <t>IONITA</t>
  </si>
  <si>
    <t>Aer-phase organic nitrate from isoprene precursors</t>
  </si>
  <si>
    <t>C4H5NO5;C4H7NO5;C4H7NO6;C4H7NO7;C5H10N2O8;C5H10N2O9;C5H11NO7;C5H11NO8;C5H7NO5;C5H8N2O6;C5H8N2O8;C5H9NO4;C5H9NO5;C5H9NO6;C5H9NO7</t>
  </si>
  <si>
    <t>InChI=1S/C4H5NO5/c1-3(6)4(7)2-10-5(8)9/h2H2,1H3;InChI=1S/C4H7NO5/c1-3(6)4(7)2-10-5(8)9/h4,7H,2H2,1H3;InChI=1S/C4H7NO5/c1-3(7)4(2-6)10-5(8)9/h4,6H,2H2,1H3;InChI=1S/C4H7NO5/c1-4(2-6,3-7)10-5(8)9/h2,7H,3H2,1H3;InChI=1S/C4H7NO5/c1-4(7,2-6)3-10-5(8)9/h2,7H,3H2,1H3;InChI=1S/C4H7NO6/c1-3(6)4(11-9)2-10-5(7)8/h4,9H,2H2,1H3;InChI=1S/C4H7NO6/c1-4(2-6,11-9)3-10-5(7)8/h2,9H,3H2,1H3;InChI=1S/C4H7NO6/c1-4(2-6,3(7)8)11-5(9)10/h6H,2H2,1H3,(H,7,8);InChI=1S/C4H7NO7/c1-4(2-6,3(7)11-10)12-5(8)9/h6,10H,2H2,1H3;InChI=1S/C5H10N2O8/c1-5(4(9)2-8,15-7(12)13)3-14-6(10)11/h4,8-9H,2-3H2,1H3;InChI=1S/C5H10N2O9/c1-5(8,3-15-13)4(16-7(11)12)2-14-6(9)10/h4,8,13H,2-3H2,1H3;InChI=1S/C5H11NO7/c1-5(13-11,4(8)2-7)3-12-6(9)10/h4,7-8,11H,2-3H2,1H3;InChI=1S/C5H11NO8/c1-5(7,3-12-6(8)9)4(14-11)2-13-10/h4,7,10-11H,2-3H2,1H3;InChI=1S/C5H7NO5/c1-5(3-10-5)4(7)2-11-6(8)9/h2-3H2,1H3;InChI=1S/C5H8N2O6/c1-3-5(2,13-7(10)11)4-12-6(8)9/h3H,1,4H2,2H3;InChI=1S/C5H8N2O8/c1-5(9,3-14-6(10)11)4(2-8)15-7(12)13/h2,4,9H,3H2,1H3;InChI=1S/C5H9NO4/c1-3-5(2,4-7)10-6(8)9/h3,7H,1,4H2,2H3;InChI=1S/C5H9NO4/c1-3-5(2,7)4-10-6(8)9/h3,7H,1,4H2,2H3;InChI=1S/C5H9NO4/c1-4(2)5(3-7)10-6(8)9/h5,7H,1,3H2,2H3;InChI=1S/C5H9NO4/c1-5(2-3-7)4-10-6(8)9/h2,7H,3-4H2,1H3/b5-2+;InChI=1S/C5H9NO4/c1-5(4-7)2-3-10-6(8)9/h2,7H,3-4H2,1H3/b5-2+;InChI=1S/C5H9NO5/c1-3-5(2,11-9)4-10-6(7)8/h3,9H,1,4H2,2H3;InChI=1S/C5H9NO5/c1-5(2-3-11-9)4-10-6(7)8/h2,9H,3-4H2,1H3/b5-2+;InChI=1S/C5H9NO5/c1-5(3-7)4(11-5)2-10-6(8)9/h4,7H,2-3H2,1H3;InChI=1S/C5H9NO6/c1-5(3-8,4(9)2-7)12-6(10)11/h7-8H,2-3H2,1H3;InChI=1S/C5H9NO7/c1-5(13-10,2-11-6(8)9)3-4(7)12-3/h3-4,7,10H,2H2,1H3;InChI=1S/C5H9NO7/c1-5(8,3-12-6(9)10)4(2-7)13-11/h2,4,8,11H,3H2,1H3</t>
  </si>
  <si>
    <t>CO23C4NO3;HMVKANO3;INB1CO;INCNCHO;ISOPBNO3;ISOPDNO3;MACRNB;MACRNCO2H;MACRNCO3H;MACRNO3;MVKNO3;pCO23C4NO3;pCO23C4NO3_DIOL;pHMVKANO3;pHMVKANO3_DIOL;pISOPBNO3;pISOPBNO3_DIOL;pISOPDNO3;pISOPDNO3_DIOL;pMACRNB;pMACRNB_DIOL;pMACRNCO2H;pMACRNCO2H_DIOL;pMACRNCO3H;pMACRNCO3H_DIOL;pMACRNO3;pMACRNO3_DIOL;pMVKNO3;pMVKNO3_DIOL</t>
  </si>
  <si>
    <t>pICHDN;pICHNP;pICNE;pIDHCN;pIDHDN;pIDHPN;pIDN;pIHNB;pIHNDP;pIHNE;pIHNPE;pIHPDN;pINPB;pINPD;pISOP1N4OH;pISOP1OH4N;pMACR2OOH3N;pMVK3OOH4N</t>
  </si>
  <si>
    <t>IONO</t>
  </si>
  <si>
    <t>Nitryl iodide</t>
  </si>
  <si>
    <t>O=NOI</t>
  </si>
  <si>
    <t>InChI=1S/INO2/c1-4-2-3</t>
  </si>
  <si>
    <t>IONO2</t>
  </si>
  <si>
    <t>Iodine nitrate</t>
  </si>
  <si>
    <t>O=[N+]([O-])OI</t>
  </si>
  <si>
    <t>InChI=1S/INO3/c1-5-2(3)4</t>
  </si>
  <si>
    <t>IPMN</t>
  </si>
  <si>
    <t>Peroxymethacryloyl nitrate (MPAN) from isoprene oxidation</t>
  </si>
  <si>
    <t>CH2=C(CH3)C(O)OONO2</t>
  </si>
  <si>
    <t>IPRNO3</t>
  </si>
  <si>
    <t>Isopropyl nitrate</t>
  </si>
  <si>
    <t>C3H7ONO2</t>
  </si>
  <si>
    <t>CC(C)O[N+](=O)[O-]</t>
  </si>
  <si>
    <t>InChI=1S/C3H7NO3/c1-3(2)7-4(5)6/h3H,1-2H3</t>
  </si>
  <si>
    <t>IC3H7NO3</t>
  </si>
  <si>
    <t>ISALA</t>
  </si>
  <si>
    <t>Fine sea salt iodine</t>
  </si>
  <si>
    <t>ISALC</t>
  </si>
  <si>
    <t>Coarse sea salt iodine</t>
  </si>
  <si>
    <t>ISN1</t>
  </si>
  <si>
    <t>Nighttime isoprene nitrate</t>
  </si>
  <si>
    <t>ISN1OA</t>
  </si>
  <si>
    <t>Aerosol-phase 2nd generation hydroxynitrates formed from ISOP+NO3 reaction pathway</t>
  </si>
  <si>
    <t>ISN1OG</t>
  </si>
  <si>
    <t>Gas-phase 2nd generation hydroxynitrates formed from ISOP+NO3 reaction pathway</t>
  </si>
  <si>
    <t>ISNOHOO</t>
  </si>
  <si>
    <t>Peroxy radical from ISN1</t>
  </si>
  <si>
    <t>ISNOOA</t>
  </si>
  <si>
    <t>ISNOOB</t>
  </si>
  <si>
    <t>ISNP</t>
  </si>
  <si>
    <t>Isoprene nitrate</t>
  </si>
  <si>
    <t>HOCH2C(OOH)(CH3)CH(ONO2)CH2OH</t>
  </si>
  <si>
    <t>ISOA1</t>
  </si>
  <si>
    <t>Lumped semivolatile aerosol products of isoprene oxidation</t>
  </si>
  <si>
    <t>v9-02o</t>
  </si>
  <si>
    <t>ISOA2</t>
  </si>
  <si>
    <t>ISOA3</t>
  </si>
  <si>
    <t>ISOG1</t>
  </si>
  <si>
    <t>Lumped semivolatile gas products of isoprene oxidation</t>
  </si>
  <si>
    <t>ISOG2</t>
  </si>
  <si>
    <t>ISOG3</t>
  </si>
  <si>
    <t>ISOP</t>
  </si>
  <si>
    <t>Isoprene</t>
  </si>
  <si>
    <t>C5H8;CH2=C(CH3)CH=CH2</t>
  </si>
  <si>
    <t>C=CC(=C)C</t>
  </si>
  <si>
    <t>InChI=1S/C5H8/c1-4-5(2)3/h4H,1-2H2,3H3</t>
  </si>
  <si>
    <t>C5H8</t>
  </si>
  <si>
    <t>ISOPNB</t>
  </si>
  <si>
    <t>Isoprene nitrate Beta</t>
  </si>
  <si>
    <t>C3M3CHONO3;C3MNO3CHO;C4CHOBNO3;C4M2NO3ONE;C4M3NO3ONE;C4NO3CHO;C51NO32CO;C52NO31CO;C52NO33CO;C53NO32CO;DIEKBNO3;ISOP34NO3;ISOPANO3;ISOPBNO3;ISOPCNO3;ISOPDNO3;MIPKBNO3;MPRKNO3;pISOPBNO3;pISOPDNO3</t>
  </si>
  <si>
    <t>ISOPNBO2</t>
  </si>
  <si>
    <t>Product of ISOPNB+OH</t>
  </si>
  <si>
    <t>ISOPND</t>
  </si>
  <si>
    <t>Isoprene nitrate Delta</t>
  </si>
  <si>
    <t>ISOPNDO2</t>
  </si>
  <si>
    <t>Product of ISOPND+OH</t>
  </si>
  <si>
    <t>ISOPNOO1</t>
  </si>
  <si>
    <t>From 1,2-IHN + OH ;Peroxy radicals from IHN2</t>
  </si>
  <si>
    <t>InChI=1S/C5H10NO7/c1-5(3-7,13-6(9)10)4(8)2-12-11/h4,7-8H,2-3H2,1H3;InChI=1S/C5H10NO7/c1-5(3-8,13-6(9)10)4(2-7)12-11/h4,7-8H,2-3H2,1H3</t>
  </si>
  <si>
    <t>INB1O2;INB2O2</t>
  </si>
  <si>
    <t>ISOPNOO2</t>
  </si>
  <si>
    <t>Lumped peroxy radical From OH/O2 addition to Delta-IHNs;Peroxy radicals from IHN3</t>
  </si>
  <si>
    <t>InChI=1S/C5H10NO7/c1-5(3-8,13-11)4(2-7)12-6(9)10/h4,7-8H,2-3H2,1H3;InChI=1S/C5H10NO7/c1-5(8,3-12-11)4(2-7)13-6(9)10/h4,7-8H,2-3H2,1H3</t>
  </si>
  <si>
    <t>INDO2;None</t>
  </si>
  <si>
    <t>ITCN</t>
  </si>
  <si>
    <t>From B-IEPOX + OH + NO (via IEPOXAOO);From B-IEPOX + OH + NO (via IEPOXBOO);From d4 IEPOX +OH + NO;Lumped Isoprene tetrafunctional carbonylnitrates / Isoprene-carbonyl-nitrooxy-epoxide;Lumped Isoprene tetrafunctional carbonylnitrates / Lumped tetrafunctionalized Isoprene: carbonyl-hydroxy-nitrooxy-hydroperoxide;lumped isoprene tetrafunctional carbonylnitrates</t>
  </si>
  <si>
    <t>C5H7NO5;C5H9NO6;C5H9NO7</t>
  </si>
  <si>
    <t>InChI=1S/C5H7NO5/c1-5(3-10-5)4(7)2-11-6(8)9/h2-3H2,1H3;InChI=1S/C5H7NO5/c1-5(3-7)4(11-5)2-10-6(8)9/h3-4H,2H2,1H3;InChI=1S/C5H9NO6/c1-5(3-8,4(9)2-7)12-6(10)11/h3-4,7,9H,2H2,1H3;InChI=1S/C5H9NO6/c1-5(3-8,4(9)2-7)12-6(10)11/h7-8H,2-3H2,1H3;InChI=1S/C5H9NO6/c1-5(9,3-8)4(2-7)12-6(10)11/h2,4,8-9H,3H2,1H3;InChI=1S/C5H9NO7/c1-5(13-11,4(8)2-7)3-12-6(9)10/h2,4,8,11H,3H2,1H3;InChI=1S/C5H9NO7/c1-5(3-7,13-11)4(8)2-12-6(9)10/h3-4,8,11H,2H2,1H3;InChI=1S/C5H9NO7/c1-5(3-7,13-11)4(8)2-12-6(9)10/h7,11H,2-3H2,1H3;InChI=1S/C5H9NO7/c1-5(3-7,13-6(9)10)4(8)2-12-11/h3-4,8,11H,2H2,1H3;InChI=1S/C5H9NO7/c1-5(3-8,13-11)4(2-7)12-6(9)10/h2,4,8,11H,3H2,1H3;InChI=1S/C5H9NO7/c1-5(3-8,13-11)4(2-7)12-6(9)10/h3-4,7,11H,2H2,1H3;InChI=1S/C5H9NO7/c1-5(3-8,13-6(9)10)4(2-7)12-11/h2,4,8,11H,3H2,1H3;InChI=1S/C5H9NO7/c1-5(3-8,13-6(9)10)4(2-7)12-11/h3-4,7,11H,2H2,1H3;InChI=1S/C5H9NO7/c1-5(8,3-12-11)4(2-7)13-6(9)10/h2,4,8,11H,3H2,1H3;InChI=1S/C5H9NO7/c1-5(8,3-12-6(9)10)4(2-7)13-11/h2,4,8,11H,3H2,1H3;InChI=1S/C5H9NO7/c1-5(8,3-12-6(9)10)4(7)2-13-11/h8,11H,2-3H2,1H3;InChI=1S/C5H9NO7/c1-5(8,3-7)4(13-11)2-12-6(9)10/h3-4,8,11H,2H2,1H3</t>
  </si>
  <si>
    <t>C510OOH;C526NO3;C527NO3;C57NO3;C58ANO3;INAHPCHO;INB1CO;INB1HPCHO;INDHPCHO;None</t>
  </si>
  <si>
    <t>ICHNP;ICNE;IDHCN</t>
  </si>
  <si>
    <t>ITHN</t>
  </si>
  <si>
    <t>1,4-IHNE, From 3,4-IPN;2,1-IHNE, From (E)-4,1-IPN;3,4-IHNE From (E)-1,4-IPN;From (E)- 1,4, IPN +HO2;From 2,1-IHN+HO2;From 3,4 IPN + HO2;From 4,1, IHN +HO2;Lumped Isoprene tetrafunctional hydroxynitrates / Lumped tetrafunctionalized C-5 hydroxynitrate: dihydroxy-hydroperoxy-nitrate;Lumped Isoprene tetrafunctional hydroxynitrates / Lumped tetrafunctionalized Isoprene: hydroxy-nitrooxy-dihydroperoxide;Lumped isoprene tetrafunctional hydroxynitrates;Lumped tetrafunctionalized Isoprene: hydroxy-nitrooxy-hydroperoxy-epoxide</t>
  </si>
  <si>
    <t>C5H11NO7;C5H11NO8;C5H9NO5;C5H9NO7</t>
  </si>
  <si>
    <t>InChI=1S/C5H11NO7/c1-5(13-11,4(8)2-7)3-12-6(9)10/h4,7-8,11H,2-3H2,1H3;InChI=1S/C5H11NO7/c1-5(3-7,13-11)4(8)2-12-6(9)10/h4,7-8,11H,2-3H2,1H3;InChI=1S/C5H11NO7/c1-5(3-7,13-6(9)10)4(8)2-12-11/h4,7-8,11H,2-3H2,1H3;InChI=1S/C5H11NO7/c1-5(3-8,13-11)4(2-7)12-6(9)10/h4,7-8,11H,2-3H2,1H3;InChI=1S/C5H11NO7/c1-5(3-8,13-6(9)10)4(2-7)12-11/h4,7-8,11H,2-3H2,1H3;InChI=1S/C5H11NO7/c1-5(8,3-12-11)4(2-7)13-6(9)10/h4,7-8,11H,2-3H2,1H3;InChI=1S/C5H11NO7/c1-5(8,3-12-6(9)10)4(2-7)13-11/h4,7-8,11H,2-3H2,1H3;InChI=1S/C5H11NO7/c1-5(8,3-12-6(9)10)4(7)2-13-11/h4,7-8,11H,2-3H2,1H3;InChI=1S/C5H11NO7/c1-5(8,3-13-11)4(7)2-12-6(9)10/h4,7-8,11H,2-3H2,1H3;InChI=1S/C5H11NO7/c1-5(8,3-7)4(13-11)2-12-6(9)10/h4,7-8,11H,2-3H2,1H3;InChI=1S/C5H11NO8/c1-5(14-11,3-12-6(8)9)4(2-7)13-10/h4,7,10-11H,2-3H2,1H3;InChI=1S/C5H11NO8/c1-5(14-11,3-12-6(8)9)4(7)2-13-10/h4,7,10-11H,2-3H2,1H3;InChI=1S/C5H11NO8/c1-5(14-11,3-13-10)4(7)2-12-6(8)9/h4,7,10-11H,2-3H2,1H3;InChI=1S/C5H11NO8/c1-5(3-7,14-11)4(13-10)2-12-6(8)9/h4,7,10-11H,2-3H2,1H3;InChI=1S/C5H11NO8/c1-5(7,3-12-6(8)9)4(14-11)2-13-10/h4,7,10-11H,2-3H2,1H3;InChI=1S/C5H11NO8/c1-5(7,3-13-10)4(14-11)2-12-6(8)9/h4,7,10-11H,2-3H2,1H3;InChI=1S/C5H9NO5/c1-5(3-10-5)4(7)2-11-6(8)9/h4,7H,2-3H2,1H3;InChI=1S/C5H9NO5/c1-5(3-7)4(11-5)2-10-6(8)9/h4,7H,2-3H2,1H3;InChI=1S/C5H9NO5/c1-5(7,4-2-10-4)3-11-6(8)9/h4,7H,2-3H2,1H3;InChI=1S/C5H9NO7/c1-4(2-12-10)5(7,13-4)3-11-6(8)9/h7,10H,2-3H2,1H3;InChI=1S/C5H9NO7/c1-5(13-10,2-11-6(8)9)3-4(7)12-3/h3-4,7,10H,2H2,1H3;InChI=1S/C5H9NO7/c1-5(4(7)12-5)3(13-10)2-11-6(8)9/h3-4,7,10H,2H2,1H3</t>
  </si>
  <si>
    <t>INAOOH;INB1OOH;INB2OOH;INCOOH;INDOOH;None</t>
  </si>
  <si>
    <t>IDHPN;IHNDP;IHNE;IHNPE</t>
  </si>
  <si>
    <t>0% of ITHN;10% of ITHN;90% of ITHN</t>
  </si>
  <si>
    <t>KC3</t>
  </si>
  <si>
    <t>K</t>
  </si>
  <si>
    <t>KC4</t>
  </si>
  <si>
    <t>KF1</t>
  </si>
  <si>
    <t>KF2</t>
  </si>
  <si>
    <t>KO2</t>
  </si>
  <si>
    <t>Peroxy radical from &gt;3 ketones</t>
  </si>
  <si>
    <t>C4H5O3</t>
  </si>
  <si>
    <t>BIACETO;C3DBCO3;C3MDIALO;C4CO2O;CHOC3COO;MACO3;MVKO2;pCONM2CO2H_DIOL</t>
  </si>
  <si>
    <t>LBRO2H</t>
  </si>
  <si>
    <t>Dummy species to track oxidation of BRO2 by HO2</t>
  </si>
  <si>
    <t>LBRO2N</t>
  </si>
  <si>
    <t>Dummy species to track oxidation of BRO2 by NO</t>
  </si>
  <si>
    <t>LCH4</t>
  </si>
  <si>
    <t>Dummy species to track loss rate of CH4</t>
  </si>
  <si>
    <t>LCO</t>
  </si>
  <si>
    <t>Dummy species to track loss rate of CO</t>
  </si>
  <si>
    <t>LIMO</t>
  </si>
  <si>
    <t>Limonene</t>
  </si>
  <si>
    <t>C10H16</t>
  </si>
  <si>
    <t>C=C(C)C1CC=C(C)CC1</t>
  </si>
  <si>
    <t>InChI=1S/C10H16/c1-8(2)10-6-4-9(3)5-7-10/h4,10H,1,5-7H2,2-3H3</t>
  </si>
  <si>
    <t>LIMONENE</t>
  </si>
  <si>
    <t>APINENE;BPINENE;LIMONENE</t>
  </si>
  <si>
    <t>LIMO2</t>
  </si>
  <si>
    <t>Peroxy radical from LIMO</t>
  </si>
  <si>
    <t>C10H17O3</t>
  </si>
  <si>
    <t>InChI=1S/C10H17O3/c1-7(2)8-4-5-10(3,13-12)9(11)6-8/h8-9,11H,1,4-6H2,2-3H3;InChI=1S/C10H17O3/c1-7(2)8-4-5-10(3,11)9(6-8)13-12/h8-9,11H,1,4-6H2,2-3H3;	InChI=1S/C10H17O3/c1-8-3-5-9(6-4-8)10(2,7-11)13-12/h3,9,11H,4-7H2,1-2H3</t>
  </si>
  <si>
    <t>LIMAO2;LIMBO2</t>
  </si>
  <si>
    <t>APINAO2;APINBO2;APINCO2;BPINAO2;BPINBO2;BPINCO2;C1011O2;C1012O;C1013O;C104O;LIMAO2;LIMBO2;LIMCO2;pLIMALNO3_DIOL;pNLIMALOH_DIOL</t>
  </si>
  <si>
    <t>LISOPNO3</t>
  </si>
  <si>
    <t>Dummy species to track oxidation of ISOP by NO3</t>
  </si>
  <si>
    <t>LISOPOH</t>
  </si>
  <si>
    <t>Dummy species to track oxidation of ISOP by OH</t>
  </si>
  <si>
    <t>LNRO2H</t>
  </si>
  <si>
    <t>Dummy species to track oxidation of NRO2 by HO2</t>
  </si>
  <si>
    <t>LNRO2N</t>
  </si>
  <si>
    <t>Dummy species to track oxidation of NRO2 by NO</t>
  </si>
  <si>
    <t>LOx</t>
  </si>
  <si>
    <t>Dummy species to track loss rate of Ox</t>
  </si>
  <si>
    <t>LTRO2H</t>
  </si>
  <si>
    <t>Dummy species to track oxidation of TRO2 by HO2</t>
  </si>
  <si>
    <t>LTRO2N</t>
  </si>
  <si>
    <t>Dummy species to track oxidation of TRO2 by NO</t>
  </si>
  <si>
    <t>LVOC</t>
  </si>
  <si>
    <t>Gas-phase low-volatility non-IEPOX product of RIP ox</t>
  </si>
  <si>
    <t>C5H14O5</t>
  </si>
  <si>
    <t>LVOCOA</t>
  </si>
  <si>
    <t>Aer-phase low-volatility non-IEPOX product of RIP ox</t>
  </si>
  <si>
    <t>LXRO2H</t>
  </si>
  <si>
    <t>Dummy species to track oxidation of XRO2 by HO2</t>
  </si>
  <si>
    <t>LXRO2N</t>
  </si>
  <si>
    <t>Dummy species to track oxidation of XRO2 by NO</t>
  </si>
  <si>
    <t>MACR</t>
  </si>
  <si>
    <t>Methacrolein</t>
  </si>
  <si>
    <t>C4H6O;CH2=C(CH3)CHO</t>
  </si>
  <si>
    <t>C=C(C)C=O</t>
  </si>
  <si>
    <t>InChI=1S/C4H6O/c1-4(2)3-5/h3H,1H2,2H3</t>
  </si>
  <si>
    <t>MACR1OO</t>
  </si>
  <si>
    <t>Peroxyacyl radical from MACR + OH;peroxy radical From H-abstraction From MACR</t>
  </si>
  <si>
    <t>C4H5O3;CH2=C(CH3)C(O)OO</t>
  </si>
  <si>
    <t>C=C(C)C(=O)O[O]</t>
  </si>
  <si>
    <t>InChI=1S/C4H5O3/c1-3(2)4(5)7-6/h1H2,2H3</t>
  </si>
  <si>
    <t>MACO3</t>
  </si>
  <si>
    <t>MACR1OOH</t>
  </si>
  <si>
    <t>Peracid from MACR;methacrylic acid;methacrylic peracid</t>
  </si>
  <si>
    <t>C4H6O2;C4H6O3;CH2=C(CH3)C(O)OOH</t>
  </si>
  <si>
    <t>InChI=1S/C4H6O2/c1-3(2)4(5)6/h1H2,2H3,(H,5,6);InChI=1S/C4H6O3/c1-3(2)4(5)7-6/h6H,1H2,2H3</t>
  </si>
  <si>
    <t>MACO2H;MACO3H</t>
  </si>
  <si>
    <t>MACR1OH;MACR1OOH</t>
  </si>
  <si>
    <t>25 % of MACR1OOH;75 % of MACR1OOH</t>
  </si>
  <si>
    <t>MACRN</t>
  </si>
  <si>
    <t>Nitrate from MACR</t>
  </si>
  <si>
    <t>HOCH2C(ONO2)(CH3)CHO</t>
  </si>
  <si>
    <t>MACRNO2</t>
  </si>
  <si>
    <t>Product of MCRHN + OH;peroxy radical From H-abstraction From MACR2N3OH</t>
  </si>
  <si>
    <t>C4H6NO7</t>
  </si>
  <si>
    <t>CC(CO)(O[N+](=O)[O-])C(=O)O[O]</t>
  </si>
  <si>
    <t>InChI=1S/C4H6NO7/c1-4(2-6,3(7)11-10)12-5(8)9/h6H,2H2,1H3</t>
  </si>
  <si>
    <t>MACRNCO3</t>
  </si>
  <si>
    <t>MACROO</t>
  </si>
  <si>
    <t>C4H6O2</t>
  </si>
  <si>
    <t>C=C(C)C=[O+][O-]</t>
  </si>
  <si>
    <t>InChI=1S/C4H6O2/c1-4(2)3-6-5/h3H,1H2,2H3</t>
  </si>
  <si>
    <t>MACROO;MACROOA</t>
  </si>
  <si>
    <t>MAN2</t>
  </si>
  <si>
    <t>RO2 from MACR+NO3</t>
  </si>
  <si>
    <t>MAO3</t>
  </si>
  <si>
    <t>Peroxyacyl from MVK and MACR</t>
  </si>
  <si>
    <t>CH2=C(CH3)C(O)OO</t>
  </si>
  <si>
    <t>MAOP</t>
  </si>
  <si>
    <t>Peroxide from MAO3</t>
  </si>
  <si>
    <t>CH2=C(CH3)C(O)OOH</t>
  </si>
  <si>
    <t>MAOPO2</t>
  </si>
  <si>
    <t>Peroxy radical from MAOP (addition on the double bond)</t>
  </si>
  <si>
    <t>CH2OH-CHOO*CH3C(O)OOH</t>
  </si>
  <si>
    <t>MAP</t>
  </si>
  <si>
    <t>Peroxyacetic acid</t>
  </si>
  <si>
    <t>CH3C(O)OOH</t>
  </si>
  <si>
    <t>CC(=O)OO</t>
  </si>
  <si>
    <t>InChI=1S/C2H4O3/c1-2(3)5-4/h4H,1H3</t>
  </si>
  <si>
    <t>CH3CO3H</t>
  </si>
  <si>
    <t>MBO</t>
  </si>
  <si>
    <t>2-methyl-3-buten-2-ol</t>
  </si>
  <si>
    <t>C5H10O;CH2=CHC(CH3)2OH</t>
  </si>
  <si>
    <t>C=CC(C)(C)O</t>
  </si>
  <si>
    <t>InChI=1S/C5H10O/c1-4-5(2,3)6/h4,6H,1H2,2-3H3</t>
  </si>
  <si>
    <t>MBOOO</t>
  </si>
  <si>
    <t>C4H8O3</t>
  </si>
  <si>
    <t>CC(C)(O)C=[O+][O-]</t>
  </si>
  <si>
    <t>InChI=1S/C4H8O3/c1-4(2,5)3-7-6/h3,5H,1-2H3</t>
  </si>
  <si>
    <t>MBOOO;MBOOOA</t>
  </si>
  <si>
    <t>MCO3</t>
  </si>
  <si>
    <t>Peroxyacetyl radical;Peroxyacetyl radical, Acetylperoxy radical;nitrooxy-acetylperoxy radical</t>
  </si>
  <si>
    <t>C2H2NO6;C2H3O3;CH3C(O)OO</t>
  </si>
  <si>
    <t>InChI=1S/C2H2NO6/c4-2(9-7)1-8-3(5)6/h1H2;InChI=1S/C2H3O3/c1-2(3)5-4/h1H3</t>
  </si>
  <si>
    <t>CH3CO3;NO3CH2CO3</t>
  </si>
  <si>
    <t>CH3CO3;NCH2CO3</t>
  </si>
  <si>
    <t>CH3CO3;MCO3</t>
  </si>
  <si>
    <t>MCRDH</t>
  </si>
  <si>
    <t>Dihydroxy-methacrolein;dihydroxy-methacrolein, DHMP</t>
  </si>
  <si>
    <t>CC(O)(C=O)CO</t>
  </si>
  <si>
    <t>InChI=1S/C4H8O3/c1-4(7,2-5)3-6/h2,6-7H,3H2,1H3</t>
  </si>
  <si>
    <t>MACROH</t>
  </si>
  <si>
    <t>MACR2OH3OH</t>
  </si>
  <si>
    <t>MCRENOL</t>
  </si>
  <si>
    <t>Lumped enols from MVK/MACR;hydroxy-MVK (enol);hydroxy-methacrolein (enol)</t>
  </si>
  <si>
    <t>InChI=1S/C4H6O2/c1-4(2-5)3-6/h2-3,5H,1H3;InChI=1S/C4H6O2/c1-4(2-5)3-6/h2-3,5H,1H3/b4-2+;InChI=1S/C4H6O2/c1-4(6)2-3-5/h2-3,5H,1H3</t>
  </si>
  <si>
    <t>HMAC;HVMK</t>
  </si>
  <si>
    <t>MCRENOL;MVKENOL</t>
  </si>
  <si>
    <t>25% of MCRENOL;75% of MCRENOL</t>
  </si>
  <si>
    <t>MCRHN</t>
  </si>
  <si>
    <t>Nitrate from MACR;hydroxy-nitrooxy-methacrolein;hydroxy-nitrooxy-methacrylic peracid</t>
  </si>
  <si>
    <t>C4H7NO5;C4H7NO7;HOCH2C(ONO2)(CH3)CHO</t>
  </si>
  <si>
    <t>InChI=1S/C4H7NO5/c1-4(2-6,3-7)10-5(8)9/h2,7H,3H2,1H3;InChI=1S/C4H7NO7/c1-4(2-6,3(7)11-10)12-5(8)9/h6,10H,2H2,1H3</t>
  </si>
  <si>
    <t>MACRNCO3H;MACRNO3;pMACRNCO3H;pMACRNCO3H_DIOL;pMACRNO3;pMACRNO3_DIOL</t>
  </si>
  <si>
    <t>MACR2N3OH;MACRNOOH</t>
  </si>
  <si>
    <t>MCRHNB</t>
  </si>
  <si>
    <t>Nitrate From MACR / peroxy radical From ICN + OH/O2;Nitrate from MACR;hydroxy-nitrooxy-methacrolein;hydroxy-nitrooxy-methacrylic acid;nitrooxy-hydroperoxy-methacrolein</t>
  </si>
  <si>
    <t>C4H7NO5;C4H7NO6;C5H8NO7;O2NOCH2C(OH)(CH3)CHO</t>
  </si>
  <si>
    <t>InChI=1S/C4H7NO5/c1-4(7,2-6)3-10-5(8)9/h2,7H,3H2,1H3;InChI=1S/C4H7NO6/c1-4(2-6,11-9)3-10-5(7)8/h2,9H,3H2,1H3;InChI=1S/C4H7NO6/c1-4(2-6,3(7)8)11-5(9)10/h6H,2H2,1H3,(H,7,8);InChI=1S/C5H8NO7/c1-5(8,3-12-6(9)10)4(2-7)13-11/h2,4,8H,3H2,1H3</t>
  </si>
  <si>
    <t>MACRNB;MACRNCO2H;None;pMACRNB;pMACRNB_DIOL;pMACRNCO2H;pMACRNCO2H_DIOL</t>
  </si>
  <si>
    <t>ICN1OO;MACR2OH3N;MACR2OOH3N;MACRNOH</t>
  </si>
  <si>
    <t>25% of MACRN;75% of MACRN;MACR2OH3N;MCRHNB</t>
  </si>
  <si>
    <t>MCRHP</t>
  </si>
  <si>
    <t>Hydroxy-hydroperoxy-methacrolein;hydroxy-hydroperoxy-methacrolein</t>
  </si>
  <si>
    <t>C4H8O4;HOCH2C(OOH)(CH3)CHO</t>
  </si>
  <si>
    <t>InChI=1S/C4H8O4/c1-4(2-5,3-6)8-7/h2,6-7H,3H2,1H3;InChI=1S/C4H8O4/c1-4(6,2-5)3-8-7/h2,6-7H,3H2,1H3</t>
  </si>
  <si>
    <t>MACROHOOH;MACROOH</t>
  </si>
  <si>
    <t>MACR2OH3OOH;MACR2OOH3OH</t>
  </si>
  <si>
    <t>23% of MACRHP;77% MACRHP</t>
  </si>
  <si>
    <t>MCROHOO</t>
  </si>
  <si>
    <t>Lumped peroxy radicals From OH/O2 addition to MACR;Peroxy radical from MACR + OH</t>
  </si>
  <si>
    <t>C4H7O4</t>
  </si>
  <si>
    <t>InChI=1S/C4H7O4/c1-4(2-5,3-6)8-7/h2,6H,3H2,1H3;InChI=1S/C4H7O4/c1-4(6,2-5)3-8-7/h2,6H,3H2,1H3</t>
  </si>
  <si>
    <t>MACRO2;MACROHO2</t>
  </si>
  <si>
    <t>MCT</t>
  </si>
  <si>
    <t>Catechols and methyl catechols</t>
  </si>
  <si>
    <t>C7H8O2</t>
  </si>
  <si>
    <t>InChI=1S/C6H6O2/c7-5-3-1-2-4-6(5)8/h1-4,7-8H;InChI=1S/C7H8O2/c1-5-3-2-4-6(8)7(5)9/h2-4,8-9H,1H3</t>
  </si>
  <si>
    <t>CATECHOL;MCATECHOL</t>
  </si>
  <si>
    <t>C6H5CH2OOH;MCATECHOL;MXYL1OOH;OXYL1OOH;PXYL1OOH</t>
  </si>
  <si>
    <t>MEK</t>
  </si>
  <si>
    <t>Methyl Ethyl Ketone</t>
  </si>
  <si>
    <t>C4H8O;RC(O)R</t>
  </si>
  <si>
    <t>CCC(C)=O</t>
  </si>
  <si>
    <t>InChI=1S/C4H8O/c1-3-4(2)5/h3H2,1-2H3</t>
  </si>
  <si>
    <t>MENO3</t>
  </si>
  <si>
    <t>Methyl nitrate</t>
  </si>
  <si>
    <t>CH3ONO2</t>
  </si>
  <si>
    <t>CO[N+](=O)[O-]</t>
  </si>
  <si>
    <t>InChI=1S/CH3NO3/c1-5-2(3)4/h1H3</t>
  </si>
  <si>
    <t>CH3NO3</t>
  </si>
  <si>
    <t>MGLOO</t>
  </si>
  <si>
    <t>C3H4O3</t>
  </si>
  <si>
    <t>CC([O-])=C[O+]=O</t>
  </si>
  <si>
    <t>InChI=1S/C3H4O3/c1-3(4)2-6-5/h2H,1H3</t>
  </si>
  <si>
    <t>MGLOO;MGLOOA;MGLOOB;MGLOOC</t>
  </si>
  <si>
    <t>MGLY</t>
  </si>
  <si>
    <t>Methylglyoxal;methylglyoxal</t>
  </si>
  <si>
    <t>C3H4O2;CH3COCHO</t>
  </si>
  <si>
    <t>CC(=O)C=O</t>
  </si>
  <si>
    <t>InChI=1S/C3H4O2/c1-3(5)2-4/h2H,1H3</t>
  </si>
  <si>
    <t>MGLYOX;pMGLYOX</t>
  </si>
  <si>
    <t>MGLYOO</t>
  </si>
  <si>
    <t>CC(=C[O-])[O+]=O</t>
  </si>
  <si>
    <t>InChI=1S/C3H4O3/c1-3(2-4)6-5/h2H,1H3</t>
  </si>
  <si>
    <t>MGLYOO;MGLYOOA;MGLYOOB</t>
  </si>
  <si>
    <t>MNO3</t>
  </si>
  <si>
    <t>Methylnitrate</t>
  </si>
  <si>
    <t>MO2</t>
  </si>
  <si>
    <t>Methylperoxy radical</t>
  </si>
  <si>
    <t>CH3O2</t>
  </si>
  <si>
    <t>CO[O]</t>
  </si>
  <si>
    <t>InChI=1S/CH3O2/c1-3-2/h1H3</t>
  </si>
  <si>
    <t>CH3OO</t>
  </si>
  <si>
    <t>MOBA</t>
  </si>
  <si>
    <t>5C acid from isoprene</t>
  </si>
  <si>
    <t>HOC(=O)C(CH3)=CHCHO</t>
  </si>
  <si>
    <t>MOBAOO</t>
  </si>
  <si>
    <t>RO2 from MOBA</t>
  </si>
  <si>
    <t>MOH</t>
  </si>
  <si>
    <t>Methanol</t>
  </si>
  <si>
    <t>CH3OH</t>
  </si>
  <si>
    <t>InChI=1S/CH4O/c1-2/h2H,1H3</t>
  </si>
  <si>
    <t>MONITA</t>
  </si>
  <si>
    <t>Aer-phase organic nitrate from monoterpene precursors</t>
  </si>
  <si>
    <t>C10H15NO4;C10H15NO5;C10H15NO6;C10H15NO7;C10H17NO4;C10H17NO5;C10H17NO6;C10H17NO7;C2H5NO4;C3H5NO5;C4H5NO5;C4H5NO6;C4H5NO7;C4H7NO4;C4H7NO6;C4H9NO4;C5H11NO6;C5H7NO5;C5H7NO6;C5H7NO7;C5H7NO8;C5H8N2O10;C5H8N2O8;C5H8N2O9;C5H9NO5;C5H9NO6;C5H9NO7;C5H9NO8;C5H9NO9;C6H11NO4;C6H11NO6;C6H11NO7;C6H9NO5;C6H9NO6;C7H11NO4;C7H11NO5;C7H11NO6;C7H13NO6;C7H13NO7;C7H7NO6;C7H7NO8;C7H7NO9;C7H9NO6;C7H9NO7;C8H13NO3;C8H13NO4;C8H13NO5;C8H13NO6;C8H13NO7;C9H11NO5;C9H13NO4;C9H13NO5;C9H13NO6;C9H15NO4;C9H15NO5;C9H15NO6</t>
  </si>
  <si>
    <t>InChI=1S/C10H15NO4/c1-9(2)6-4-7(9)10(3,8(12)5-6)15-11(13)14/h6-7H,4-5H2,1-3H3;InChI=1S/C10H15NO4/c1-9(2)7-3-4-10(6-12,8(9)5-7)15-11(13)14/h6-8H,3-5H2,1-2H3;InChI=1S/C10H15NO5/c1-7(13)8-6-10(4-5-12,9(8,2)3)16-11(14)15/h5,8H,4,6H2,1-3H3;InChI=1S/C10H15NO6/c1-7(13)9(14)6-8(4-5-12)10(2,3)17-11(15)16/h5,8H,4,6H2,1-3H3;InChI=1S/C10H15NO6/c1-7(13)9(6-8(14)4-5-12)10(2,3)17-11(15)16/h5,9H,4,6H2,1-3H3;InChI=1S/C10H15NO6/c1-8(2)6-4-10(8,17-15)5-7(12)9(6,3)16-11(13)14/h6,15H,4-5H2,1-3H3;InChI=1S/C10H15NO6/c1-9(2)6-3-4-10(7(9)5-6,8(12)16-15)17-11(13)14/h6-7,15H,3-5H2,1-2H3;InChI=1S/C10H15NO7/c1-9(2,18-16)7-4-6(12)5-8(13)10(7,3)17-11(14)15/h7,16H,4-5H2,1-3H3;InChI=1S/C10H17NO4/c1-10(2,15-11(13)14)9-5-3-8(7-12)4-6-9/h3,9,12H,4-7H2,1-2H3;InChI=1S/C10H17NO4/c1-7(2)8-4-5-10(3,12)9(6-8)15-11(13)14/h8-9,12H,1,4-6H2,2-3H3;InChI=1S/C10H17NO4/c1-7(2)8-4-5-10(3,9(12)6-8)15-11(13)14/h8-9,12H,1,4-6H2,2-3H3;InChI=1S/C10H17NO4/c1-7-4-5-8(6-9(7)12)10(2,3)15-11(13)14/h4,8-9,12H,5-6H2,1-3H3;InChI=1S/C10H17NO4/c1-8-3-5-9(6-4-8)10(2,7-12)15-11(13)14/h3,9,12H,4-7H2,1-2H3;InChI=1S/C10H17NO4/c1-9(2)6-4-7(9)10(3,12)8(5-6)15-11(13)14/h6-8,12H,4-5H2,1-3H3;InChI=1S/C10H17NO4/c1-9(2)6-4-7(9)10(3,8(12)5-6)15-11(13)14/h6-8,12H,4-5H2,1-3H3;InChI=1S/C10H17NO4/c1-9(2)7-3-4-10(12,8(9)5-7)6-15-11(13)14/h7-8,12H,3-6H2,1-2H3;InChI=1S/C10H17NO4/c1-9(2)7-3-4-10(6-12,8(9)5-7)15-11(13)14/h7-8,12H,3-6H2,1-2H3;InChI=1S/C10H17NO5/c1-7(2)8-4-5-10(3,16-14)9(6-8)15-11(12)13/h8-9,14H,1,4-6H2,2-3H3;InChI=1S/C10H17NO5/c1-9(2)6-4-7(9)10(3,16-11(12)13)8(5-6)15-14/h6-8,14H,4-5H2,1-3H3;InChI=1S/C10H17NO5/c1-9(2)6-4-7(9)10(3,16-14)8(5-6)15-11(12)13/h6-8,14H,4-5H2,1-3H3;InChI=1S/C10H17NO5/c1-9(2)7-3-4-10(16-14,8(9)5-7)6-15-11(12)13/h7-8,14H,3-6H2,1-2H3;InChI=1S/C10H17NO5/c1-9(2)7-3-4-10(6-15-14,8(9)5-7)16-11(12)13/h7-8,14H,3-6H2,1-2H3;InChI=1S/C10H17NO6/c1-8(13)3-4-9(5-6-12)10(2,14)7-17-11(15)16/h6,9,14H,3-5,7H2,1-2H3;InChI=1S/C10H17NO6/c1-8(14)3-4-9(5-6-12)10(2,7-13)17-11(15)16/h6,9,13H,3-5,7H2,1-2H3;InChI=1S/C10H17NO7/c1-8(13)3-4-9(5-6-12)10(2,18-16)7-17-11(14)15/h6,9,16H,3-5,7H2,1-2H3;InChI=1S/C2H5NO4/c4-1-2-7-3(5)6/h4H,1-2H2;InChI=1S/C3H5NO5/c1-3(9-7)2-8-4(5)6/h2H2,1H3;InChI=1S/C4H5NO5/c1-3(7)4(2-6)10-5(8)9/h2,4H,1H3;InChI=1S/C4H5NO5/c1-4(2-6,3-7)10-5(8)9/h2-3H,1H3;InChI=1S/C4H5NO6/c1-4(2-6,3(7)8)11-5(9)10/h2H,1H3,(H,7,8);InChI=1S/C4H5NO7/c1-2(6)3(4(7)12-10)11-5(8)9/h3,10H,1H3;InChI=1S/C4H5NO7/c1-4(2-6,3(7)11-10)12-5(8)9/h2,10H,1H3;InChI=1S/C4H7NO4/c1-4(6)2-3-9-5(7)8/h2-3H2,1H3;InChI=1S/C4H7NO6/c1-3(11-9)4(2-6)10-5(7)8/h4,6H,2H2,1H3;InChI=1S/C4H7NO6/c1-4(8,3(6)7)2-11-5(9)10/h8H,2H2,1H3,(H,6,7);InChI=1S/C4H9NO4/c1-4(2,6)3-9-5(7)8/h6H,3H2,1-2H3;InChI=1S/C5H11NO6/c1-5(9,3-8)4(2-7)12-6(10)11/h4,7-9H,2-3H2,1H3;InChI=1S/C5H11NO6/c1-5(9,4(8)2-7)3-12-6(10)11/h4,7-9H,2-3H2,1H3;InChI=1S/C5H7NO5/c7-3-1-5(2-4-8)11-6(9)10/h3-5H,1-2H2;InChI=1S/C5H7NO5/c7-3-1-5(8)2-4-11-6(9)10/h3H,1-2,4H2;InChI=1S/C5H7NO6/c1-5(3-8,4(9)2-7)12-6(10)11/h2-4,9H,1H3;InChI=1S/C5H7NO6/c1-5(9,3-8)4(2-7)12-6(10)11/h2-4,9H,1H3;InChI=1S/C5H7NO6/c1-5(9,4(8)2-7)3-12-6(10)11/h2,9H,3H2,1H3;InChI=1S/C5H7NO7/c1-5(13-10)3(12-6(8)9)2-11-4(5)7/h3,10H,2H2,1H3;InChI=1S/C5H7NO7/c1-5(2-7,13-6(11)12)3(8)4(9)10/h2-3,8H,1H3,(H,9,10);InChI=1S/C5H7NO7/c1-5(4(9)10,3(8)2-7)13-6(11)12/h2-3,8H,1H3,(H,9,10);InChI=1S/C5H7NO8/c1-5(2-7,14-6(10)11)3(8)4(9)13-12/h2-3,8,12H,1H3;InChI=1S/C5H7NO8/c1-5(3(8)2-7,4(9)13-12)14-6(10)11/h2-3,8,12H,1H3;InChI=1S/C5H7NO8/c1-5(9,4(8)14-12)3(2-7)13-6(10)11/h2-3,9,12H,1H3;InChI=1S/C5H8N2O10/c1-5(2-8,17-7(12)13)3(4(9)16-14)15-6(10)11/h3,8,14H,2H2,1H3;InChI=1S/C5H8N2O10/c1-5(4(9)16-14,17-7(12)13)3(2-8)15-6(10)11/h3,8,14H,2H2,1H3;InChI=1S/C5H8N2O10/c1-5(9,2-15-6(10)11)3(4(8)17-14)16-7(12)13/h3,9,14H,2H2,1H3;InChI=1S/C5H8N2O8/c1-5(3-9,15-7(12)13)4(2-8)14-6(10)11/h2,4,9H,3H2,1H3;InChI=1S/C5H8N2O8/c1-5(3-9,15-7(12)13)4(2-8)14-6(10)11/h3-4,8H,2H2,1H3;InChI=1S/C5H8N2O9/c1-5(10,2-15-6(11)12)3(4(8)9)16-7(13)14/h3,10H,2H2,1H3,(H,8,9);InChI=1S/C5H8N2O9/c1-5(2-8,16-7(13)14)3(4(9)10)15-6(11)12/h3,8H,2H2,1H3,(H,9,10);InChI=1S/C5H8N2O9/c1-5(4(9)10,16-7(13)14)3(2-8)15-6(11)12/h3,8H,2H2,1H3,(H,9,10);InChI=1S/C5H9NO5/c1-4(8)5(2-7)3-11-6(9)10/h5,7H,2-3H2,1H3;InChI=1S/C5H9NO6/c1-5(3-8,4(9)2-7)12-6(10)11/h2,4,8-9H,3H2,1H3;InChI=1S/C5H9NO6/c1-5(9,3-8)4(2-7)12-6(10)11/h3-4,7,9H,2H2,1H3;InChI=1S/C5H9NO6/c1-5(9,4(8)2-7)3-12-6(10)11/h7,9H,2-3H2,1H3;InChI=1S/C5H9NO7/c1-5(2-7,13-6(11)12)3(8)4(9)10/h3,7-8H,2H2,1H3,(H,9,10);InChI=1S/C5H9NO7/c1-5(4(9)10,3(8)2-7)13-6(11)12/h3,7-8H,2H2,1H3,(H,9,10);InChI=1S/C5H9NO8/c1-5(2-7,14-6(10)11)3(8)4(9)13-12/h3,7-8,12H,2H2,1H3;InChI=1S/C5H9NO8/c1-5(3(8)2-7,4(9)13-12)14-6(10)11/h3,7-8,12H,2H2,1H3;InChI=1S/C5H9NO8/c1-5(9,4(8)14-12)3(2-7)13-6(10)11/h3,7,9,12H,2H2,1H3;InChI=1S/C5H9NO9/c1-5(15-12,4(8)14-11)3(2-7)13-6(9)10/h3,7,11-12H,2H2,1H3;InChI=1S/C6H11NO4/c1-5(2)6(3-4-8)11-7(9)10/h6,8H,1,3-4H2,2H3;InChI=1S/C6H11NO4/c1-5(2)6(3-8)4-11-7(9)10/h6,8H,1,3-4H2,2H3;InChI=1S/C6H11NO6/c1-6(10,4-13-7(11)12)5(2-8)3-9/h2,5,9-10H,3-4H2,1H3;InChI=1S/C6H11NO6/c1-6(4-10,13-7(11)12)5(2-8)3-9/h2,5,9-10H,3-4H2,1H3;InChI=1S/C6H11NO7/c1-6(14-12,4-13-7(10)11)5(2-8)3-9/h2,5,9,12H,3-4H2,1H3;InChI=1S/C6H9NO5/c1-5(9)6(2-3-8)4-12-7(10)11/h3,6H,2,4H2,1H3;InChI=1S/C6H9NO6/c1-4(9)6(10)2-5(3-8)13-7(11)12/h5,8H,2-3H2,1H3;InChI=1S/C7H11NO4/c1-5-2-3-6(4-7(5)9)12-8(10)11/h2,6-7,9H,3-4H2,1H3;InChI=1S/C7H11NO4/c1-6(2)7(3-4-9)5-12-8(10)11/h4,7H,1,3,5H2,2H3;InChI=1S/C7H11NO5/c1-6(10)7(2-4-9)3-5-13-8(11)12/h4,7H,2-3,5H2,1H3;InChI=1S/C7H11NO5/c1-7(2,5-9)6(10)3-4-13-8(11)12/h5H,3-4H2,1-2H3;InChI=1S/C7H11NO6/c1-5(9)6(2-3-7(10)11)4-14-8(12)13/h6H,2-4H2,1H3,(H,10,11);InChI=1S/C7H11NO6/c1-7(14-8(12)13)5(10)2-4(9)3-6(7)11/h5-6,10-11H,2-3H2,1H3;InChI=1S/C7H13NO6/c1-7(11,5-14-8(12)13)6(4-10)2-3-9/h3,6,10-11H,2,4-5H2,1H3;InChI=1S/C7H13NO6/c1-7(11,5-14-8(12)13)6(4-10)2-3-9/h4,6,9,11H,2-3,5H2,1H3;InChI=1S/C7H13NO6/c1-7(5-11,14-8(12)13)6(4-10)2-3-9/h3,6,10-11H,2,4-5H2,1H3;InChI=1S/C7H13NO6/c1-7(5-11,14-8(12)13)6(4-10)2-3-9/h4,6,9,11H,2-3,5H2,1H3;InChI=1S/C7H13NO7/c1-7(15-13,5-14-8(11)12)6(4-10)2-3-9/h3,6,10,13H,2,4-5H2,1H3;InChI=1S/C7H13NO7/c1-7(15-13,5-14-8(11)12)6(4-10)2-3-9/h4,6,9,13H,2-3,5H2,1H3;InChI=1S/C7H7NO6/c1-7(14-8(12)13)5(10)2-4(9)3-6(7)11/h2-3H2,1H3;InChI=1S/C7H7NO8/c1-7(16-8(12)13)4(10)2-3(9)5(15-14)6(7)11/h5,14H,2H2,1H3;InChI=1S/C7H7NO9/c1-7(6(12)16-15,17-8(13)14)5(11)2-4(10)3-9/h3,15H,2H2,1H3;InChI=1S/C7H9NO6/c1-5(10)7(11)4-6(2-3-9)14-8(12)13/h3,6H,2,4H2,1H3;InChI=1S/C7H9NO7/c1-7(15-8(11)12)5(10)2-4(9)3-6(7)14-13/h6,13H,2-3H2,1H3;InChI=1S/C8H13NO3/c1-8(2)5-3-6(8)7(4-5)12-9(10)11/h5-7H,3-4H2,1-2H3;InChI=1S/C8H13NO4/c1-7(2)8(3-5-10)4-6-13-9(11)12/h5,8H,1,3-4,6H2,2H3;InChI=1S/C8H13NO4/c1-8(2)6(3-4-10)5-7(8)13-9(11)12/h4,6-7H,3,5H2,1-2H3;InChI=1S/C8H13NO5/c1-6(10)3-4-8(7(2)11)5-14-9(12)13/h8H,3-5H2,1-2H3;InChI=1S/C8H13NO5/c1-6(2)7(3-4-8(10)11)5-14-9(12)13/h7H,1,3-5H2,2H3,(H,10,11);InChI=1S/C8H13NO5/c1-8(2)5(4-14-9(12)13)3-6(8)7(10)11/h5-6H,3-4H2,1-2H3,(H,10,11);InChI=1S/C8H13NO5/c1-8(2,14-9(12)13)7(3-5-10)4-6-11/h5-7H,3-4H2,1-2H3;InChI=1S/C8H13NO6/c1-8(12,6-15-9(13)14)7(2-4-10)3-5-11/h4-5,7,12H,2-3,6H2,1H3;InChI=1S/C8H13NO6/c1-8(6-12,15-9(13)14)7(2-4-10)3-5-11/h4-5,7,12H,2-3,6H2,1H3;InChI=1S/C8H13NO7/c1-8(16-14,6-15-9(12)13)7(2-4-10)3-5-11/h4-5,7,14H,2-3,6H2,1H3;InChI=1S/C8H13NO7/c1-8(2,16-9(14)15)5(4-10)3-6(11)7(12)13/h5,10H,3-4H2,1-2H3,(H,12,13);InChI=1S/C9H11NO5/c1-9(2)6-4(11)3-5(12)7(9)8(6)15-10(13)14/h6-8H,3H2,1-2H3;InChI=1S/C9H13NO4/c1-8(2)6-5-9(8,14-10(12)13)4-3-7(6)11/h6H,3-5H2,1-2H3;InChI=1S/C9H13NO4/c1-9(2)5-3-4-6(11)7(9)8(5)14-10(12)13/h5,7-8H,3-4H2,1-2H3;InChI=1S/C9H13NO4/c1-9(2)5-3-6(9)8(4-7(5)11)14-10(12)13/h5-6,8H,3-4H2,1-2H3;InChI=1S/C9H13NO5/c1-9(2)6(5-11)7(12)3-4-8(9)15-10(13)14/h5-6,8H,3-4H2,1-2H3;InChI=1S/C9H13NO5/c1-9(2)6(7(12)3-4-11)5-8(9)15-10(13)14/h4,6,8H,3,5H2,1-2H3;InChI=1S/C9H13NO5/c1-9(2,15-10(13)14)7-5-6(11)3-4-8(7)12/h7H,3-5H2,1-2H3;InChI=1S/C9H13NO6/c1-9(2,16-10(14)15)7(3-5-11)8(13)4-6-12/h5-7H,3-4H2,1-2H3;InChI=1S/C9H13NO6/c1-9(2,16-10(14)15)7(6-12)8(13)4-3-5-11/h5-7H,3-4H2,1-2H3;InChI=1S/C9H15NO4/c1-6(11)8-4-7(9(8,2)3)5-14-10(12)13/h7-8H,4-5H2,1-3H3;InChI=1S/C9H15NO4/c1-7(2)9(5-4-8(3)11)6-14-10(12)13/h9H,1,4-6H2,2-3H3;InChI=1S/C9H15NO5/c1-6(11)7-3-4-9(2,12)8(5-7)15-10(13)14/h7-8,12H,3-5H2,1-2H3;InChI=1S/C9H15NO5/c1-6(11)7-3-4-9(2,8(12)5-7)15-10(13)14/h7-8,12H,3-5H2,1-2H3;InChI=1S/C9H15NO6/c1-6(11)7-3-4-9(2,16-14)8(5-7)15-10(12)13/h7-8,14H,3-5H2,1-2H3;InChI=1S/C9H15NO6/c1-6(12)8(13)4-7(5-11)9(2,3)16-10(14)15/h7,11H,4-5H2,1-3H3</t>
  </si>
  <si>
    <t>MONITS</t>
  </si>
  <si>
    <t>C10H17NO4</t>
  </si>
  <si>
    <t>InChI=1S/C10H17NO4/c1-9(2)6-4-7(9)10(3,8(12)5-6)15-11(13)14/h6-8,12H,4-5H2,1-3H3;InChI=1S/C10H17NO4/c1-9(2)6-4-7(9)10(3,12)8(5-6)15-11(13)14/h6-8,12H,4-5H2,1-3H3;InChI=1S/C10H17NO5/c1-9(2)6-4-7(9)10(3,16-14)8(5-6)15-11(12)13/h6-8,14H,4-5H2,1-3H3;InChI=1S/C10H17NO5/c1-9(2)6-4-7(9)10(3,16-11(12)13)8(5-6)15-14/h6-8,14H,4-5H2,1-3H3;InChI=1S/C10H17NO4/c1-9(2)7-3-4-10(6-12,8(9)5-7)15-11(13)14/h7-8,12H,3-6H2,1-2H3;InChI=1S/C10H17NO4/c1-9(2)7-3-4-10(12,8(9)5-7)6-15-11(13)14/h7-8,12H,3-6H2,1-2H3;InChI=1S/C10H17NO5/c1-9(2)7-3-4-10(16-14,8(9)5-7)6-15-11(12)13/h7-8,14H,3-6H2,1-2H3;InChI=1S/C10H17NO5/c1-9(2)7-3-4-10(6-15-14,8(9)5-7)16-11(12)13/h7-8,14H,3-6H2,1-2H3</t>
  </si>
  <si>
    <t>APINANO3;APINBNO3;APINCNO3;BPINANO3;BPINBNO3;BPINCNO3;C1011NO3;LIMANO3;LIMBNO3;LIMCNO3;pAPINANO3;pAPINBNO3;pAPINCNO3;pBPINANO3;pBPINBNO3;pBPINCNO3;pLIMANO3;pLIMBNO3;pLIMCNO3</t>
  </si>
  <si>
    <t>MONITU</t>
  </si>
  <si>
    <t>InChI=1S/C10H17NO4/c1-7-4-5-8(6-9(7)12)10(2,3)15-11(13)14/h4,8-9,12H,5-6H2,1-3H3;InChI=1S/C10H17NO4/c1-10(2,15-11(13)14)9-5-3-8(7-12)4-6-9/h3,9,12H,4-7H2,1-2H3;InChI=1S/C10H17NO4/c1-7(2)8-4-5-10(3,12)9(6-8)15-11(13)14/h8-9,12H,1,4-6H2,2-3H3;InChI=1S/C10H17NO4/c1-7(2)8-4-5-10(3,9(12)6-8)15-11(13)14/h8-9,12H,1,4-6H2,2-3H3;InChI=1S/C10H17NO4/c1-8-3-5-9(6-4-8)10(2,7-12)15-11(13)14/h3,9,12H,4-7H2,1-2H3;InChI=1S/C10H17NO4/c1-7(12)4-5-8-9(15-11(13)14)6-10(8,2)3/h8-9H,4-6H2,1-3H3</t>
  </si>
  <si>
    <t>MONX</t>
  </si>
  <si>
    <t>Total monoterpenes</t>
  </si>
  <si>
    <t>Removedin v11-02e</t>
  </si>
  <si>
    <t>MOPI</t>
  </si>
  <si>
    <t>Hydrophilic marine organic carbon aerosol</t>
  </si>
  <si>
    <t>MOPO</t>
  </si>
  <si>
    <t>Hydrophobic marine organic carbon aerosol</t>
  </si>
  <si>
    <t>MP</t>
  </si>
  <si>
    <t>Methyl hydro peroxide</t>
  </si>
  <si>
    <t>CH3OOH</t>
  </si>
  <si>
    <t>COO</t>
  </si>
  <si>
    <t>InChI=1S/CH4O2/c1-3-2/h2H,1H3</t>
  </si>
  <si>
    <t>MPAN</t>
  </si>
  <si>
    <t>Peroxymethacroyl nitrate (PMN);Peroxymethacroyl nitrate (PMN) / methacryloyl peroxynitrate;hydroxy-nitrooxy-methacryloyl peroxynitrate</t>
  </si>
  <si>
    <t>C4H5NO5;C4H6N2O9;CH2=C(CH3)C(O)OONO2</t>
  </si>
  <si>
    <t>InChI=1S/C4H5NO5/c1-3(2)4(6)9-10-5(7)8/h1H2,2H3;InChI=1S/C4H6N2O9/c1-4(2-7,14-5(9)10)3(8)13-15-6(11)12/h7H,2H2,1H3</t>
  </si>
  <si>
    <t>MACRNPAN;MPAN</t>
  </si>
  <si>
    <t>MPAN;MPANHN</t>
  </si>
  <si>
    <t>MPAN;MPAN or IPMN</t>
  </si>
  <si>
    <t>MPN</t>
  </si>
  <si>
    <t>Methyl peroxy nitrate</t>
  </si>
  <si>
    <t>CH3NO4;CH3O2NO2</t>
  </si>
  <si>
    <t>COO[N+](=O)[O-]</t>
  </si>
  <si>
    <t>InChI=1S/CH3NO4/c1-5-6-2(3)4/h1H3</t>
  </si>
  <si>
    <t>CH3O2NO2</t>
  </si>
  <si>
    <t>CH3OONO2</t>
  </si>
  <si>
    <t>MRO2</t>
  </si>
  <si>
    <t>RO2 from MACR+OH</t>
  </si>
  <si>
    <t>HOCH2C(OO)(CH3)CHO</t>
  </si>
  <si>
    <t>MRP</t>
  </si>
  <si>
    <t>Peroxide from MRO2</t>
  </si>
  <si>
    <t>HOCH2C(OOH)(CH3)CHO</t>
  </si>
  <si>
    <t>MSA</t>
  </si>
  <si>
    <t>Methyl sulfonic acid</t>
  </si>
  <si>
    <t>CH4O3S;CH4SO3</t>
  </si>
  <si>
    <t>CS(=O)(=O)O</t>
  </si>
  <si>
    <t>InChI=1S/CH4O3S/c1-5(2,3)4/h1H3,(H,2,3,4)</t>
  </si>
  <si>
    <t>MTPA</t>
  </si>
  <si>
    <t>a-pinene, b-pinene, sabinene, carene</t>
  </si>
  <si>
    <t>InChI=1S/C10H16/c1-7-4-5-8-6-9(7)10(8,2)3/h4,8-9H,5-6H2,1-3H3;InChI=1S/C10H16/c1-7-4-5-8-6-9(7)10(8,2)3/h8-9H,1,4-6H2,2-3H3;InChI=1S/C10H16/c1-7(2)10-5-4-8(3)9(10)6-10/h7,9H,3-6H2,1-2H3; InChI=1S/C10H16/c1-7-4-5-8-9(6-7)10(8,2)3/h4,8-9H,5-6H2,1-3H3</t>
  </si>
  <si>
    <t>APINENE;BPINENE</t>
  </si>
  <si>
    <t>MTPO</t>
  </si>
  <si>
    <t>Terpinene, terpinolene, myrcene, ocimene, other monoterpenes</t>
  </si>
  <si>
    <t>InChI=1S/C10H16/c1-8(2)10-6-4-9(3)5-7-10/h4,7-8H,5-6H2,1-3H3; InChI=1S/C10H16/c1-8(2)10-6-4-9(3)5-7-10/h4,6,8H,5,7H2,1-3H3;InChI=1S/C10H16/c1-8(2)10-6-4-9(3)5-7-10/h4H,5-7H2,1-3H3;InChI=1S/C10H16/c1-5-10(4)8-6-7-9(2)3/h5,7H,1,4,6,8H2,2-3H3; InChI=1S/C10H16/c1-5-10(4)8-6-7-9(2)3/h5,7-8H,1,6H2,2-4H3/b10-8+;InChI=1S/C10H16/c1-5-10(4)8-6-7-9(2)3/h5,7-8H,1,6H2,2-4H3/b10-8-;InChI=1S/C10H16/c1-5-10(4)8-6-7-9(2)3/h5,8H,1-2,6-7H2,3-4H3/b10-8-;InChI=1S/C10H16/c1-5-10(4)8-6-7-9(2)3/h5,7-8H,1,6H2,2-4H3;InChI=1S/C10H14/c1-8(2)10-6-4-9(3)5-7-10/h4-8H,1-3H3;InChI=1S/C10H14/c1-8(2)10-7-5-4-6-9(10)3/h4-8H,1-3H3;InChI=1S/C10H14/c1-8(2)10-6-4-5-9(3)7-10/h4-8H,1-3H3</t>
  </si>
  <si>
    <t>MVK</t>
  </si>
  <si>
    <t>Methyl vinyl ketone</t>
  </si>
  <si>
    <t>C4H6O;CH2=CHC(=O)CH3</t>
  </si>
  <si>
    <t>C=CC(C)=O</t>
  </si>
  <si>
    <t>InChI=1S/C4H6O/c1-3-4(2)5/h3H,1H2,2H3</t>
  </si>
  <si>
    <t>MVKDH</t>
  </si>
  <si>
    <t>dihydroxy-MVK</t>
  </si>
  <si>
    <t>C4H8O3;HOCH2CH2OHC(O)CH3</t>
  </si>
  <si>
    <t>CC(=O)C(O)CO</t>
  </si>
  <si>
    <t>InChI=1S/C4H8O3/c1-3(6)4(7)2-5/h4-5,7H,2H2,1H3</t>
  </si>
  <si>
    <t>HO12CO3C4</t>
  </si>
  <si>
    <t>MVK3OH4OH</t>
  </si>
  <si>
    <t>MVKHC</t>
  </si>
  <si>
    <t>MVK hydroxy-carbonyl;hydroxy-carbonyl-MVK</t>
  </si>
  <si>
    <t>CC(=O)C(=O)CO</t>
  </si>
  <si>
    <t>InChI=1S/C4H6O3/c1-3(6)4(7)2-5/h5H,2H2,1H3</t>
  </si>
  <si>
    <t>BIACETOH</t>
  </si>
  <si>
    <t>MVK3CO4OH</t>
  </si>
  <si>
    <t>MVKHCB</t>
  </si>
  <si>
    <t>MVK hydroxy-carbonyl;hydroperoxy-carbonyl-MVK;hydroxy-carbonyl-MVK;hydroxy-carbonyl-methacrolein</t>
  </si>
  <si>
    <t>C4H6O3;C4H6O4</t>
  </si>
  <si>
    <t>InChI=1S/C4H6O3/c1-3(6)4(7)2-5/h2,4,7H,1H3;InChI=1S/C4H6O3/c1-4(7,2-5)3-6/h2-3,7H,1H3;InChI=1S/C4H6O4/c1-3(6)4(2-5)8-7/h2,4,7H,1H3</t>
  </si>
  <si>
    <t>C3MDIALOH;C4CO2OOH;CO2H3CHO</t>
  </si>
  <si>
    <t>MACR2OH3CO;MVK3OH4CO;MVK3OOH4CO</t>
  </si>
  <si>
    <t>MVKHCB;MVKHCB?</t>
  </si>
  <si>
    <t>MVKHP</t>
  </si>
  <si>
    <t>MVK hydroxy-hydroperoxide;hydroxy-hydroperoxy-MVK</t>
  </si>
  <si>
    <t>C4H8O4</t>
  </si>
  <si>
    <t>InChI=1S/C4H8O4/c1-3(5)4(6)2-8-7/h4,6-7H,2H2,1H3;InChI=1S/C4H8O4/c1-3(6)4(2-5)8-7/h4-5,7H,2H2,1H3</t>
  </si>
  <si>
    <t>HMVKAOOH;HMVKBOOH</t>
  </si>
  <si>
    <t>MVK3OH4OOH;MVK3OOH4OH</t>
  </si>
  <si>
    <t>47% of MVKHP;53% of MVKHP</t>
  </si>
  <si>
    <t>MVKN</t>
  </si>
  <si>
    <t>Nitrate From MVK // peroxy radical From ICN + OH/O2;Nitrate from MVK;carbonyl-nitrooxy-MVK;hydroxy-nitrooxy-MVK;nitrooxy-hydroperoxy-MVK</t>
  </si>
  <si>
    <t>C4H5NO5;C4H7NO5;C4H7NO6;C5H8NO7;HOCH2CH(ONO2)C(=O)CH3</t>
  </si>
  <si>
    <t>InChI=1S/C4H5NO5/c1-3(6)4(7)2-10-5(8)9/h2H2,1H3;InChI=1S/C4H7NO5/c1-3(6)4(7)2-10-5(8)9/h4,7H,2H2,1H3;InChI=1S/C4H7NO5/c1-3(7)4(2-6)10-5(8)9/h4,6H,2H2,1H3;InChI=1S/C4H7NO6/c1-3(6)4(11-9)2-10-5(7)8/h4,9H,2H2,1H3;InChI=1S/C5H8NO7/c1-5(3-7,13-11)4(8)2-12-6(9)10/h3-4,8H,2H2,1H3</t>
  </si>
  <si>
    <t>CO23C4NO3;HMVKANO3;MVKNO3;None;pCO23C4NO3;pCO23C4NO3_DIOL;pHMVKANO3;pHMVKANO3_DIOL;pMVKNO3;pMVKNO3_DIOL</t>
  </si>
  <si>
    <t>ICN2OO;MVK3CO4N;MVK3N4OH;MVK3OH4N;MVK3OOH4N</t>
  </si>
  <si>
    <t>1 % of MVKN;1% of MVKN;29% of MVKN;69% of MVKN;MVK3OH4N</t>
  </si>
  <si>
    <t>MVKOHOO</t>
  </si>
  <si>
    <t>Lumped peroxy radicals From OH/O2 addition to MVK;Peroxy radical from MVK + OH</t>
  </si>
  <si>
    <t>InChI=1S/C4H7O4/c1-3(5)4(6)2-8-7/h4,6H,2H2,1H3;InChI=1S/C4H7O4/c1-3(6)4(2-5)8-7/h4-5H,2H2,1H3</t>
  </si>
  <si>
    <t>HMVKAO2;HMVKBO2</t>
  </si>
  <si>
    <t>MVKOO</t>
  </si>
  <si>
    <t>C=CC(C)=[O+][O-]</t>
  </si>
  <si>
    <t>InChI=1S/C4H6O2/c1-3-4(2)6-5/h3H,1H2,2H3</t>
  </si>
  <si>
    <t>MVKOO;MVKOOA</t>
  </si>
  <si>
    <t>MVKPC</t>
  </si>
  <si>
    <t>MVK hydroperoxy-carbonyl</t>
  </si>
  <si>
    <t>OCHCH(OOH)C(O)CH3</t>
  </si>
  <si>
    <t>CC(=O)C(C=O)OO</t>
  </si>
  <si>
    <t>InChI=1S/C4H6O4/c1-3(6)4(2-5)8-7/h2,4,7H,1H3</t>
  </si>
  <si>
    <t>C4CO2OOH</t>
  </si>
  <si>
    <t>MgC3</t>
  </si>
  <si>
    <t>Mg</t>
  </si>
  <si>
    <t>MgC4</t>
  </si>
  <si>
    <t>MgF1</t>
  </si>
  <si>
    <t>MgF2</t>
  </si>
  <si>
    <t>MnF1</t>
  </si>
  <si>
    <t>Mn</t>
  </si>
  <si>
    <t>MnF2</t>
  </si>
  <si>
    <t>N</t>
  </si>
  <si>
    <t>Atomic nitrogen</t>
  </si>
  <si>
    <t>[N]</t>
  </si>
  <si>
    <t>InChI=1S/N</t>
  </si>
  <si>
    <t>N2</t>
  </si>
  <si>
    <t>Molecular nitrogen</t>
  </si>
  <si>
    <t>N#N</t>
  </si>
  <si>
    <t>InChI=1S/N2/c1-2</t>
  </si>
  <si>
    <t>N2O</t>
  </si>
  <si>
    <t>Nitrous oxide</t>
  </si>
  <si>
    <t>[N-]=[N+]=O</t>
  </si>
  <si>
    <t>InChI=1S/N2O/c1-2-3</t>
  </si>
  <si>
    <t>N2O5</t>
  </si>
  <si>
    <t>Dinitrogen pentoxide</t>
  </si>
  <si>
    <t>O=[N+]([O-])O[N+](=O)[O-]</t>
  </si>
  <si>
    <t>InChI=1S/N2O5/c3-1(4)7-2(5)6</t>
  </si>
  <si>
    <t>NAP</t>
  </si>
  <si>
    <t>Naphtalene/IVOC surrogate</t>
  </si>
  <si>
    <t>C10H8</t>
  </si>
  <si>
    <t>c1ccc2ccccc2c1</t>
  </si>
  <si>
    <t>InChI=1S/C10H8/c1-2-6-10-8-4-3-7-9(10)5-1/h1-8H</t>
  </si>
  <si>
    <t>NH2</t>
  </si>
  <si>
    <t>Ammonia radical</t>
  </si>
  <si>
    <t>NH3</t>
  </si>
  <si>
    <t>Ammonia</t>
  </si>
  <si>
    <t>InChI=1S/H3N/h1H3</t>
  </si>
  <si>
    <t>NH4</t>
  </si>
  <si>
    <t>Ammonium</t>
  </si>
  <si>
    <t>NIT</t>
  </si>
  <si>
    <t>Inorganic nitrates</t>
  </si>
  <si>
    <t>NO3</t>
  </si>
  <si>
    <t>O=[N+]([O-])[O-]</t>
  </si>
  <si>
    <t>InChI=1S/NO3/c2-1(3)4/q-1</t>
  </si>
  <si>
    <t>NITD1</t>
  </si>
  <si>
    <t>Nitrate on dust, Reff = 0.7 microns</t>
  </si>
  <si>
    <t>NITD2</t>
  </si>
  <si>
    <t>Nitrate on dust, Reff = 1.4 microns</t>
  </si>
  <si>
    <t>NITD3</t>
  </si>
  <si>
    <t>Nitrate on dust, Reff = 2.4 microns</t>
  </si>
  <si>
    <t>NITD4</t>
  </si>
  <si>
    <t>Nitrate on dust, Reff = 4.5 microns</t>
  </si>
  <si>
    <t>NITs</t>
  </si>
  <si>
    <t>Inorganic nitrates on surface of seasalt aerosol</t>
  </si>
  <si>
    <t>NO</t>
  </si>
  <si>
    <t>Nitrogen oxide</t>
  </si>
  <si>
    <t>[N]=O</t>
  </si>
  <si>
    <t>InChI=1S/NO/c1-2</t>
  </si>
  <si>
    <t>NO2</t>
  </si>
  <si>
    <t>Nitrogen dioxide</t>
  </si>
  <si>
    <t>[O]N=O</t>
  </si>
  <si>
    <t>InChI=1S/NO2/c2-1-3</t>
  </si>
  <si>
    <t>Nitrate radical</t>
  </si>
  <si>
    <t>[O]ON=O</t>
  </si>
  <si>
    <t>InChI=1S/NO3/c2-1-4-3</t>
  </si>
  <si>
    <t>NPHEN</t>
  </si>
  <si>
    <t>Nitrophenols</t>
  </si>
  <si>
    <t>C6H5NO3</t>
  </si>
  <si>
    <t>O=[N+]([O-])c1ccccc1O</t>
  </si>
  <si>
    <t>InChI=1S/C6H5NO3/c8-6-4-2-1-3-5(6)7(9)10/h1-4,8H</t>
  </si>
  <si>
    <t>HOC6H4NO2</t>
  </si>
  <si>
    <t>NPMN</t>
  </si>
  <si>
    <t>Non-isoprene peroxymethacryloyl nitrate (MPAN)</t>
  </si>
  <si>
    <t>NPRNO3</t>
  </si>
  <si>
    <t>n-propyl nitrate</t>
  </si>
  <si>
    <t>CCCO[N+](=O)[O-]</t>
  </si>
  <si>
    <t>InChI=1S/C3H7NO3/c1-2-3-7-4(5)6/h2-3H2,1H3</t>
  </si>
  <si>
    <t>NC3H7NO3</t>
  </si>
  <si>
    <t>NRO2</t>
  </si>
  <si>
    <t>Peroxy radical from NAP oxidation</t>
  </si>
  <si>
    <t>C10H7O2</t>
  </si>
  <si>
    <t>[O]OC1C=Cc2ccccc2C1O</t>
  </si>
  <si>
    <t>InChI=1S/C10H9O3/c11-10-8-4-2-1-3-7(8)5-6-9(10)13-12/h1-6,9-11H</t>
  </si>
  <si>
    <t>NiF1</t>
  </si>
  <si>
    <t>Ni</t>
  </si>
  <si>
    <t>NiF2</t>
  </si>
  <si>
    <t>Ground state atomic oxygen</t>
  </si>
  <si>
    <t>O(3P)</t>
  </si>
  <si>
    <t>[O]</t>
  </si>
  <si>
    <t>InChI=1S/O</t>
  </si>
  <si>
    <t>O1D</t>
  </si>
  <si>
    <t>Excited atomic oxygen (1D)</t>
  </si>
  <si>
    <t>O(1D)</t>
  </si>
  <si>
    <t>O2</t>
  </si>
  <si>
    <t>Molecular oxygen</t>
  </si>
  <si>
    <t>O=O</t>
  </si>
  <si>
    <t>InChI=1S/O2/c1-2</t>
  </si>
  <si>
    <t>O3</t>
  </si>
  <si>
    <t>Ozone</t>
  </si>
  <si>
    <t>O=[O+][O-]</t>
  </si>
  <si>
    <t>InChI=1S/O3/c1-3-2</t>
  </si>
  <si>
    <t>O3AfBL</t>
  </si>
  <si>
    <t>O3 produced in the African boundary layer</t>
  </si>
  <si>
    <t>O3AsBl</t>
  </si>
  <si>
    <t>O3 produced in the Asian boundary layer</t>
  </si>
  <si>
    <t>O3AtBL</t>
  </si>
  <si>
    <t>O3 produced in the Atlantic Ocean boundary layer</t>
  </si>
  <si>
    <t>O3EuBL</t>
  </si>
  <si>
    <t>O3 produced in the European boundary layer</t>
  </si>
  <si>
    <t>O3Init</t>
  </si>
  <si>
    <t>O3 from the initial condition</t>
  </si>
  <si>
    <t>O3MT</t>
  </si>
  <si>
    <t>O3 produced in the middle troposphere (PBL top - 350 hPa)</t>
  </si>
  <si>
    <t>O3NABL</t>
  </si>
  <si>
    <t>O3 produced in the North American boundary layer</t>
  </si>
  <si>
    <t>O3PcBL</t>
  </si>
  <si>
    <t>O3 produced in the Pacific Ocean boundary layer</t>
  </si>
  <si>
    <t>O3ROW</t>
  </si>
  <si>
    <t>O3 produced in the rest of the world</t>
  </si>
  <si>
    <t>O3Strat</t>
  </si>
  <si>
    <t>Ozone produced in the stratosphere</t>
  </si>
  <si>
    <t>O3Strt</t>
  </si>
  <si>
    <t>O3 produced in the stratosphere</t>
  </si>
  <si>
    <t>O3USA</t>
  </si>
  <si>
    <t>O3 produced over the United States (surface - tropopause)</t>
  </si>
  <si>
    <t>O3UT</t>
  </si>
  <si>
    <t>O3 produced in the upper troposphere (above 350 hPa)</t>
  </si>
  <si>
    <t>O3afbl</t>
  </si>
  <si>
    <t>Ozone produced in the African boundary layer</t>
  </si>
  <si>
    <t>O3asbl</t>
  </si>
  <si>
    <t>Ozone produced in the Asian boundary layer</t>
  </si>
  <si>
    <t>O3atbl</t>
  </si>
  <si>
    <t>Ozone produced in the Atlantic Ocean boundary layer</t>
  </si>
  <si>
    <t>O3eubl</t>
  </si>
  <si>
    <t>Ozone produced in the European boundary layer</t>
  </si>
  <si>
    <t>O3init</t>
  </si>
  <si>
    <t>Ozone from the initial condition</t>
  </si>
  <si>
    <t>O3mt</t>
  </si>
  <si>
    <t>Ozone produced in the middle troposphere</t>
  </si>
  <si>
    <t>O3nabl</t>
  </si>
  <si>
    <t>Ozone produced in the North America boundary layer</t>
  </si>
  <si>
    <t>O3pcbl</t>
  </si>
  <si>
    <t>Ozone produced in the Pacific Ocean boundary layer</t>
  </si>
  <si>
    <t>O3row</t>
  </si>
  <si>
    <t>Ozone produced in the rest of the world</t>
  </si>
  <si>
    <t>O3usa</t>
  </si>
  <si>
    <t>Ozone produced over the United States in PBL</t>
  </si>
  <si>
    <t>O3ut</t>
  </si>
  <si>
    <t>Ozone produced in the upper troposphere</t>
  </si>
  <si>
    <t>OCPI</t>
  </si>
  <si>
    <t>Hydrophilic organic carbon aerosol</t>
  </si>
  <si>
    <t>OCPO</t>
  </si>
  <si>
    <t>Hydrophobic organic carbon aerosol</t>
  </si>
  <si>
    <t>OCS</t>
  </si>
  <si>
    <t>Carbonyl sulfide</t>
  </si>
  <si>
    <t>COS</t>
  </si>
  <si>
    <t>O=C=S</t>
  </si>
  <si>
    <t>InChI=1S/COS/c2-1-3</t>
  </si>
  <si>
    <t>OClO</t>
  </si>
  <si>
    <t>OH</t>
  </si>
  <si>
    <t>Hydroxyl radical</t>
  </si>
  <si>
    <t>[OH]</t>
  </si>
  <si>
    <t>InChI=1S/HO/h1H</t>
  </si>
  <si>
    <t>OIO</t>
  </si>
  <si>
    <t>Iodine dioxide</t>
  </si>
  <si>
    <t>[O][I+][O-]</t>
  </si>
  <si>
    <t>InChI=1S/IO2/c2-1-3</t>
  </si>
  <si>
    <t>OLND</t>
  </si>
  <si>
    <t>C10H16NO5</t>
  </si>
  <si>
    <t>C=C(C)C1CCC(C)(O[O])C(O[N+](=O)[O-])C1</t>
  </si>
  <si>
    <t>InChI=1S/C10H16NO5/c1-7(2)8-4-5-10(3,16-14)9(6-8)15-11(12)13/h8-9H,1,4-6H2,2-3H3</t>
  </si>
  <si>
    <t>NAPINAO2;NAPINBO2;NBPINAO2;NBPINBO2;NLIMO2</t>
  </si>
  <si>
    <t>OLNN</t>
  </si>
  <si>
    <t>InChI=1S/C10H16NO5/c1-9(2)7-3-4-10(16-14,8(9)5-7)6-15-11(12)13/h7-8H,3-6H2,1-2H3;InChI=1S/C10H16NO5/c1-9(2)6-4-7(9)10(3,16-14)8(5-6)15-11(12)13/h6-8H,4-5H2,1-3H3;InChI=1S/C10H16NO5/c1-9(2)6-4-7(9)10(3,16-11(12)13)8(5-6)15-14/h6-8H,4-5H2,1-3H3;InChI=1S/C10H16NO5/c1-9(2)7-3-4-10(6-15-14,8(9)5-7)16-11(12)13/h7-8H,3-6H2,1-2H3</t>
  </si>
  <si>
    <t>ONIT</t>
  </si>
  <si>
    <t>Organic nitrate</t>
  </si>
  <si>
    <t>OPOA1</t>
  </si>
  <si>
    <t>Lumped aerosol product of SVOC oxidation</t>
  </si>
  <si>
    <t>OPOA2</t>
  </si>
  <si>
    <t>OPOG1</t>
  </si>
  <si>
    <t>Lumped gas product of SVOC oxidation</t>
  </si>
  <si>
    <t>OPOG2</t>
  </si>
  <si>
    <t>OTHRO2</t>
  </si>
  <si>
    <t>Other C2 RO2 not from C2H6 oxidation</t>
  </si>
  <si>
    <t>PAN</t>
  </si>
  <si>
    <t>Peroxyacetyl nitrate</t>
  </si>
  <si>
    <t>C2H3NO5;CH3C(O)OONO2</t>
  </si>
  <si>
    <t>CC(=O)OO[N+](=O)[O-]</t>
  </si>
  <si>
    <t>InChI=1S/C2H3NO5/c1-2(4)7-8-3(5)6/h1H3</t>
  </si>
  <si>
    <t>PHEN</t>
  </si>
  <si>
    <t>Phenol</t>
  </si>
  <si>
    <t>C6H6O</t>
  </si>
  <si>
    <t>Oc1ccccc1</t>
  </si>
  <si>
    <t>InChI=1S/C6H6O/c7-6-4-2-1-3-5-6/h1-5,7H</t>
  </si>
  <si>
    <t>PHENOL</t>
  </si>
  <si>
    <t>PIO2</t>
  </si>
  <si>
    <t>Peroxy radical from MTPA</t>
  </si>
  <si>
    <t>InChI=1S/C10H17O3/c1-9(2)6-4-7(9)10(3,13-12)8(11)5-6/h6-8,11H,4-5H2,1-3H3;InChI=1S/C10H17O3/c1-9(2)6-4-7(9)10(3,11)8(5-6)13-12/h6-8,11H,4-5H2,1-3H3;InChI=1S/C10H17O3/c1-9(2)7-3-4-10(6-11,13-12)8(9)5-7/h7-8,11H,3-6H2,1-2H3;InChI=1S/C10H17O3/c1-9(2)7-3-4-10(11,6-13-12)8(9)5-7/h7-8,11H,3-6H2,1-2H3;InChI=1S/C10H17O3/c1-10(2,13-12)9-5-3-8(7-11)4-6-9/h3,9,11H,4-7H2,1-2H3;InChI=1S/C10H17O3/c1-7(2)8-4-5-10(3,13-12)9(11)6-8/h8-9,11H,1,4-6H2,2-3H3;InChI=InChI=1S/C10H17O3/c1-7(11)4-5-8-9(13-12)6-10(8,2)3/h8-9H,4-6H2,1-3H3;1S/C10H17O3/c1-7(2)8-4-5-10(3,11)9(6-8)13-12/h8-9,11H,1,4-6H2,2-3H3;InChI=1S/C10H17O3/c1-8-3-5-9(6-4-8)10(2,7-11)13-12/h3,9,11H,4-7H2,1-2H3;</t>
  </si>
  <si>
    <t>APINAO2;APINBO2;BPINAO2;BPINBO2;BPINCO2;LIMAO2;LIMCO2</t>
  </si>
  <si>
    <t>PIP</t>
  </si>
  <si>
    <t>Peroxide from MTPA</t>
  </si>
  <si>
    <t>C10H18O3</t>
  </si>
  <si>
    <t>InChI=1S/C10H18O3/c1-9(2)6-4-7(9)10(3,13-12)8(11)5-6/h6-8,11-12H,4-5H2,1-3H3;InChI=1S/C10H18O3/c1-9(2)6-4-7(9)10(3,11)8(5-6)13-12/h6-8,11-12H,4-5H2,1-3H3;InChI=1S/C10H18O3/c1-7-4-5-8(6-9(7)11)10(2,3)13-12/h4,8-9,11-12H,5-6H2,1-3H3;InChI=1S/C10H18O3/c1-9(2)7-3-4-10(6-11,13-12)8(9)5-7/h7-8,11-12H,3-6H2,1-2H3;InChI=1S/C10H18O3/c1-9(2)7-3-4-10(11,6-13-12)8(9)5-7/h7-8,11-12H,3-6H2,1-2H3;InChI=1S/C10H18O3/c1-10(2,13-12)9-5-3-8(7-11)4-6-9/h3,9,11-12H,4-7H2,1-2H3;InChI=1S/C10H18O3/c1-7(11)4-5-8-9(13-12)6-10(8,2)3/h8-9,12H,4-6H2,1-3H3</t>
  </si>
  <si>
    <t>APINAOOH;APINBOOH;APINCOOH;BPINAOOH;BPINBOOH;BPINCOOH;C1011OOH;C1012OH;C1013OH;C103CO;C104OH;LIMAOOH;LIMBOOH;LIMCOOH</t>
  </si>
  <si>
    <t>PMNN</t>
  </si>
  <si>
    <t>Product of PMNO2+NO</t>
  </si>
  <si>
    <t>PMNO2</t>
  </si>
  <si>
    <t>Product of PMN+OH</t>
  </si>
  <si>
    <t>PO2</t>
  </si>
  <si>
    <t>Peroxy radical from propene</t>
  </si>
  <si>
    <t>HOCH2CH(OO)CH3</t>
  </si>
  <si>
    <t>InChI=1S/C3H7O3/c1-3(4)2-6-5/h3-4H,2H2,1H3;	InChI=1S/C3H7O3/c1-3(2-4)6-5/h3-4H,2H2,1H3</t>
  </si>
  <si>
    <t>IPROPOLO2</t>
  </si>
  <si>
    <t>POA1</t>
  </si>
  <si>
    <t>Lumped aerosol primary SVOCs</t>
  </si>
  <si>
    <t>POA2</t>
  </si>
  <si>
    <t>POG1</t>
  </si>
  <si>
    <t>Lumped gas primary SVOCs</t>
  </si>
  <si>
    <t>POG2</t>
  </si>
  <si>
    <t>POPG</t>
  </si>
  <si>
    <t>Gas-phase POP</t>
  </si>
  <si>
    <t>POPPBCPI</t>
  </si>
  <si>
    <t>Black carbon-bound particulate</t>
  </si>
  <si>
    <t>POPPBCPO</t>
  </si>
  <si>
    <t>POPPOCPI</t>
  </si>
  <si>
    <t>Organic carbon-bound particulate</t>
  </si>
  <si>
    <t>POPPOCPO</t>
  </si>
  <si>
    <t>POx</t>
  </si>
  <si>
    <t>Dummy species to track production rate of Ox</t>
  </si>
  <si>
    <t>PP</t>
  </si>
  <si>
    <t>Peroxide from PO2</t>
  </si>
  <si>
    <t>HOCH2CH(OOH)CH3</t>
  </si>
  <si>
    <t>CC(CO)OO</t>
  </si>
  <si>
    <t>InChI=1S/C3H8O3/c1-3(2-4)6-5/h3-5H,2H2,1H3</t>
  </si>
  <si>
    <t>HYPROPO2H</t>
  </si>
  <si>
    <t>PPN</t>
  </si>
  <si>
    <t>Lumped peroxypropionyl nitrate</t>
  </si>
  <si>
    <t>C3H5NO5;CH3CH2C(O)OONO2</t>
  </si>
  <si>
    <t>CCC(=O)OO[N+](=O)[O-]</t>
  </si>
  <si>
    <t>InChI=1S/C3H5NO5/c1-2-3(5)8-9-4(6)7/h2H2,1H3</t>
  </si>
  <si>
    <t>PRN1</t>
  </si>
  <si>
    <t>Peroxy radical from propene + NO3</t>
  </si>
  <si>
    <t>O2NOCH2CH(OO)CH3</t>
  </si>
  <si>
    <t>InChI=1S/C3H6NO5/c1-3(2-8-7)9-4(5)6/h3H,2H2,1H3; InChI=1S/C3H6NO5/c1-3(9-7)2-8-4(5)6/h3H,2H2,1H3</t>
  </si>
  <si>
    <t>PRONO3AO2</t>
  </si>
  <si>
    <t>PROPNN</t>
  </si>
  <si>
    <t>Propanone nitrate;propanone nitrate aka 2-Propanone, 1-(nitrooxy)-</t>
  </si>
  <si>
    <t>C3H5NO4;CH3C(=O)CH2ONO2</t>
  </si>
  <si>
    <t>CC(=O)CO[N+](=O)[O-]</t>
  </si>
  <si>
    <t>InChI=1S/C3H5NO4/c1-3(5)2-8-4(6)7/h2H2,1H3</t>
  </si>
  <si>
    <t>NOA</t>
  </si>
  <si>
    <t>PRPE</t>
  </si>
  <si>
    <t>Lumped &gt;= C3 alkenes</t>
  </si>
  <si>
    <t>C3H6</t>
  </si>
  <si>
    <t>C=CC</t>
  </si>
  <si>
    <t>InChI=1S/C3H6/c1-3-2/h3H,1H2,2H3</t>
  </si>
  <si>
    <t>PRPN</t>
  </si>
  <si>
    <t>Peroxide from PRN1</t>
  </si>
  <si>
    <t>O2NOCH2CH(OOH)CH3</t>
  </si>
  <si>
    <t>InChI=1S/C3H7NO5/c1-3(9-7)2-8-4(5)6/h3,7H,2H2,1H3;	InChI=1S/C3H7NO5/c1-3(2-8-7)9-4(5)6/h3,7H,2H2,1H3</t>
  </si>
  <si>
    <t>PR2O2HNO3</t>
  </si>
  <si>
    <t>PSO4</t>
  </si>
  <si>
    <t>Dummy species to track production of SO4</t>
  </si>
  <si>
    <t>O=S(=O)([O-])[O-]</t>
  </si>
  <si>
    <t>InChI=1S/H2O4S/c1-5(2,3)4/h(H2,1,2,3,4)/p-2</t>
  </si>
  <si>
    <t>PYAC</t>
  </si>
  <si>
    <t>Pyruvic acid;pyruvic acid</t>
  </si>
  <si>
    <t>CC(=O)C(=O)O</t>
  </si>
  <si>
    <t>InChI=1S/C3H4O3/c1-2(4)3(5)6/h1H3,(H,5,6)</t>
  </si>
  <si>
    <t>CH3COCO2H;pCH3COCO2H</t>
  </si>
  <si>
    <t>PYRAC</t>
  </si>
  <si>
    <t>Pb210</t>
  </si>
  <si>
    <t>Lead-210 isotope</t>
  </si>
  <si>
    <t>Pb210Strat</t>
  </si>
  <si>
    <t>Lead-210 isotope in stratosphere</t>
  </si>
  <si>
    <t>PbF1</t>
  </si>
  <si>
    <t>Pb</t>
  </si>
  <si>
    <t>PbF2</t>
  </si>
  <si>
    <t>R4N1</t>
  </si>
  <si>
    <t>Peroxy radical from R4N2</t>
  </si>
  <si>
    <t>C4H8NO5</t>
  </si>
  <si>
    <t>BU1ENO3O2;C42NO33O2;C43NO34O2;MPRANO3O2;MPRBNO3O2</t>
  </si>
  <si>
    <t>R4N2</t>
  </si>
  <si>
    <t>Lumped alkyl nitrate</t>
  </si>
  <si>
    <t>RO2NO</t>
  </si>
  <si>
    <t>InChI=1S/C4H9NO3/c1-2-3-4-8-5(6)7/h2-4H2,1H3;InChI=1S/C4H9NO3/c1-3-4(2)8-5(6)7/h4H,3H2,1-2H3;InChI=1S/C4H9NO3/c1-4(2)3-8-5(6)7/h4H,3H2,1-2H3;InChI=1S/C4H9NO3/c1-4(2,3)8-5(6)7/h1-3H3</t>
  </si>
  <si>
    <t>IC4H9NO3;NC4H9NO3;SC4H9NO3;TC4H9NO3</t>
  </si>
  <si>
    <t>R4O2</t>
  </si>
  <si>
    <t>Peroxy radical from ALK4</t>
  </si>
  <si>
    <t>C4H9O2</t>
  </si>
  <si>
    <t>BUT2OLAO;DIETETO;ETOC2O;HO1C4O;HO2C4O;HO3C4O;IBUTOLBO;IBUTOLCO;IC4H9O2;IPRCHOO;IPRCHOOA;IPRMEETO;NBUTOLAO;NBUTOLBO;NC4H9O2;SC4H9O2;TBUTOLO;TC4H9O2</t>
  </si>
  <si>
    <t>R4P</t>
  </si>
  <si>
    <t>Peroxide from R4O2</t>
  </si>
  <si>
    <t>CH3CH2CH2CH2OOH</t>
  </si>
  <si>
    <t>InChI=1S/C4H10O2/c1-2-3-4-6-5/h5H,2-4H2,1H3;InChI=1S/C4H10O2/c1-3-4(2)6-5/h4-5H,3H2,1-2H3;InChI=1S/C4H10O2/c1-4(2)3-6-5/h4-5H,3H2,1-2H3;InChI=1S/C4H10O2/c1-4(2,3)6-5/h5H,1-3H3</t>
  </si>
  <si>
    <t>IC4H9OOH;NC4H9OOH;SC4H9OOH;TC4H9OOH</t>
  </si>
  <si>
    <t>RA3P</t>
  </si>
  <si>
    <t>Peroxide from A3O2</t>
  </si>
  <si>
    <t>CH3CH2CH2OOH</t>
  </si>
  <si>
    <t>CCCOO</t>
  </si>
  <si>
    <t>InChI=1S/C3H8O2/c1-2-3-5-4/h4H,2-3H2,1H3</t>
  </si>
  <si>
    <t>NC3H7OOH</t>
  </si>
  <si>
    <t>RB3P</t>
  </si>
  <si>
    <t>Peroxide from B3O2</t>
  </si>
  <si>
    <t>CH3CH(OOH)CH3</t>
  </si>
  <si>
    <t>CC(C)OO</t>
  </si>
  <si>
    <t>InChI=1S/C3H8O2/c1-3(2)5-4/h3-4H,1-2H3</t>
  </si>
  <si>
    <t>IC3H7OOH</t>
  </si>
  <si>
    <t>RCHO</t>
  </si>
  <si>
    <t>Lumped aldehyde &gt;= C3</t>
  </si>
  <si>
    <t>CH3CH2CHO</t>
  </si>
  <si>
    <t>CCC=O</t>
  </si>
  <si>
    <t>InChI=1S/C3H6O/c1-2-3-4/h3H,2H2,1H3</t>
  </si>
  <si>
    <t>C2H5CHO</t>
  </si>
  <si>
    <t>RCO3</t>
  </si>
  <si>
    <t>Peroxypropionyl radical</t>
  </si>
  <si>
    <t>CH3CH2C(O)OO</t>
  </si>
  <si>
    <t>CCC(=O)OO</t>
  </si>
  <si>
    <t>InChI=1S/C3H6O3/c1-2-3(4)6-5/h5H,2H2,1H3</t>
  </si>
  <si>
    <t>PERPROACID</t>
  </si>
  <si>
    <t>RCOOH</t>
  </si>
  <si>
    <t>&gt; C2 organic acids</t>
  </si>
  <si>
    <t>C2H5C(O)OH</t>
  </si>
  <si>
    <t>nChI=1S/C3H6O2/c1-2-3(4)5/h2H2,1H3,(H,4,5)</t>
  </si>
  <si>
    <t>RIO2</t>
  </si>
  <si>
    <t>RO2 from isoprene (named as ISOPO2 in the literature)</t>
  </si>
  <si>
    <t>HOCH2C(OO)(CH3)CH=CH2</t>
  </si>
  <si>
    <t>RIPA</t>
  </si>
  <si>
    <t>1,2-ISOPOOH;Hydroxy-hydroperoxy-Isoprene, 1,2-Beta-ISOPOOH</t>
  </si>
  <si>
    <t>C=CC(C)(CO)OO</t>
  </si>
  <si>
    <t>InChI=1S/C5H10O3/c1-3-5(2,4-6)8-7/h3,6-7H,1,4H2,2H3</t>
  </si>
  <si>
    <t>ISOPBOOH</t>
  </si>
  <si>
    <t>ISOP1OH2OOH</t>
  </si>
  <si>
    <t>RIPB</t>
  </si>
  <si>
    <t>4,3-ISOPOOH;hydroxy-hydroperoxy-Isoprene, 4,3-Beta-ISOPOOH</t>
  </si>
  <si>
    <t>C=C(C)C(CO)OO</t>
  </si>
  <si>
    <t>InChI=1S/C5H10O3/c1-4(2)5(3-6)8-7/h5-7H,1,3H2,2H3</t>
  </si>
  <si>
    <t>ISOPDOOH</t>
  </si>
  <si>
    <t>ISOP3OOH4OH</t>
  </si>
  <si>
    <t>RIPC</t>
  </si>
  <si>
    <t>E-Delta 1,4, ISOPOOH;Z-Delta 1,4, ISOPOOH;d-1,4-ISOPOOH</t>
  </si>
  <si>
    <t>InChI=1S/C5H10O3/c1-5(4-6)2-3-8-7/h2,6-7H,3-4H2,1H3/b5-2+;InChI=1S/C5H10O3/c1-5(4-6)2-3-8-7/h2,6-7H,3-4H2,1H3/b5-2-</t>
  </si>
  <si>
    <t>ISOPAOOH;None</t>
  </si>
  <si>
    <t>ISOP1OH4OOH</t>
  </si>
  <si>
    <t>RIPD</t>
  </si>
  <si>
    <t>E-Delta 4,1, ISOPOOH;Z-Delta 4,1, ISOPOOH;d-4,1-ISOPOOH</t>
  </si>
  <si>
    <t>InChI=1S/C5H10O3/c1-5(2-3-6)4-8-7/h2,6-7H,3-4H2,1H3/b5-2+;InChI=1S/C5H10O3/c1-5(2-3-6)4-8-7/h2,6-7H,3-4H2,1H3/b5-2-</t>
  </si>
  <si>
    <t>ISOPCOOH;None</t>
  </si>
  <si>
    <t>ISOP1OOH4OH</t>
  </si>
  <si>
    <t>ROH</t>
  </si>
  <si>
    <t>&gt; C2 alcohols</t>
  </si>
  <si>
    <t>C3H7OH</t>
  </si>
  <si>
    <t>CCCO</t>
  </si>
  <si>
    <t>InChI=1S/C3H8O/c1-2-3-4/h4H,2-3H2,1H3</t>
  </si>
  <si>
    <t>NPROPOL</t>
  </si>
  <si>
    <t>RP</t>
  </si>
  <si>
    <t>Peroxide from RCO3</t>
  </si>
  <si>
    <t>CH3CH2C(O)OOH</t>
  </si>
  <si>
    <t>InChI=1S/C3H6O3/c1-2-3(4)6-5/h5H,2H2,1H3; InChI=1S/C3H6O2/c1-2-3(4)5/h2H2,1H3,(H,4,5)</t>
  </si>
  <si>
    <t>Rn222</t>
  </si>
  <si>
    <t>Radon-222 isotope</t>
  </si>
  <si>
    <t>S</t>
  </si>
  <si>
    <t>Atomic sulfur</t>
  </si>
  <si>
    <t>[S]</t>
  </si>
  <si>
    <t>InChI=1S/S</t>
  </si>
  <si>
    <t>SALA</t>
  </si>
  <si>
    <t>Fine (0.01-0.05 microns) sea salt aerosol</t>
  </si>
  <si>
    <t>SALAAL</t>
  </si>
  <si>
    <t>Accumulation mode sea salt alkalinity</t>
  </si>
  <si>
    <t>SALACL</t>
  </si>
  <si>
    <t>Chloride in Accumulation mode sea salt aerosol</t>
  </si>
  <si>
    <t>SALC</t>
  </si>
  <si>
    <t>Coarse (0.5-8 microns) sea salt aerosol</t>
  </si>
  <si>
    <t>SALCAL</t>
  </si>
  <si>
    <t>Coarse mode sea salt alkalinity</t>
  </si>
  <si>
    <t>SALCCL</t>
  </si>
  <si>
    <t>Chloride in Coarse mode sea salt aerosol</t>
  </si>
  <si>
    <t>SO2</t>
  </si>
  <si>
    <t>Sulfur dioxide</t>
  </si>
  <si>
    <t>O=S=O</t>
  </si>
  <si>
    <t>InChI=1S/O2S/c1-3-2</t>
  </si>
  <si>
    <t>SO3mm</t>
  </si>
  <si>
    <t>Sulfite</t>
  </si>
  <si>
    <t>SO3--</t>
  </si>
  <si>
    <t>SO4</t>
  </si>
  <si>
    <t>Sulfate</t>
  </si>
  <si>
    <t>SO4D1</t>
  </si>
  <si>
    <t>Sulfate on dust, Reff = 0.7 microns</t>
  </si>
  <si>
    <t>SO4D2</t>
  </si>
  <si>
    <t>Sulfate on dust, Reff = 1.4 microns</t>
  </si>
  <si>
    <t>SO4D3</t>
  </si>
  <si>
    <t>Sulfate on dust, Reff = 2.4 microns</t>
  </si>
  <si>
    <t>SO4D4</t>
  </si>
  <si>
    <t>Sulfate on dust, Reff = 4.5 microns</t>
  </si>
  <si>
    <t>SO4H1</t>
  </si>
  <si>
    <t>Sulfate produced by HOBr</t>
  </si>
  <si>
    <t>SO4H2</t>
  </si>
  <si>
    <t>SO4H3</t>
  </si>
  <si>
    <t>Sulfate produced by HOCl</t>
  </si>
  <si>
    <t>SO4H4</t>
  </si>
  <si>
    <t>SO4s</t>
  </si>
  <si>
    <t>Sulfate on surface of seasalt aerosol</t>
  </si>
  <si>
    <t>SOAGX</t>
  </si>
  <si>
    <t>Aerosol-phase glyoxal</t>
  </si>
  <si>
    <t>C2H2O2;C3H4O2;C3H4O3</t>
  </si>
  <si>
    <t>InChI=1S/C2H2O2/c3-1-2-4/h1-2H;InChI=1S/C3H4O2/c1-3(5)2-4/h2H,1H3;InChI=1S/C3H4O3/c1-2(4)3(5)6/h1H3,(H,5,6)</t>
  </si>
  <si>
    <t>CH3COCO2H;GLYOX;MGLYOX;pCH3COCO2H;pGLYOX;pMGLYOX</t>
  </si>
  <si>
    <t>SOAIE</t>
  </si>
  <si>
    <t>Aerosol-phase IEPOX</t>
  </si>
  <si>
    <t>C4H6O3;C5H10O3;C5H8O3</t>
  </si>
  <si>
    <t>InChI=1S/C4H6O3/c1-4(2-5)3(6)7-4/h5H,2H2,1H3;InChI=1S/C5H10O3/c1-5(3-7)4(2-6)8-5/h4,6-7H,2-3H2,1H3;InChI=1S/C5H10O3/c1-5(7,3-6)4-2-8-4/h4,6-7H,2-3H2,1H3;InChI=1S/C5H8O3/c1-5(3-8-5)4(7)2-6/h6H,2-3H2,1H3</t>
  </si>
  <si>
    <t>HMML;IEPOXA;IEPOXB;pHMML</t>
  </si>
  <si>
    <t>pICHE;pIEPOXD;pIEPOXc;pIEPOXt</t>
  </si>
  <si>
    <t>SOAME</t>
  </si>
  <si>
    <t>Aerosol-phase IMAE</t>
  </si>
  <si>
    <t>SOAMG</t>
  </si>
  <si>
    <t>Aerosol-phase methylglyoxal</t>
  </si>
  <si>
    <t>C3H4O2</t>
  </si>
  <si>
    <t>ACO2H;ACROO;ACROOA;HCOCH2CHO;MGLYOX;pMGLYOX</t>
  </si>
  <si>
    <t>SOAP</t>
  </si>
  <si>
    <t>SOA Precursor - lumped species for simplified SOA parameterization</t>
  </si>
  <si>
    <t>SOAS</t>
  </si>
  <si>
    <t>SOA Simple - simplified non-volatile SOA parameterization</t>
  </si>
  <si>
    <t>SiF1</t>
  </si>
  <si>
    <t>SiF2</t>
  </si>
  <si>
    <t>TOLU</t>
  </si>
  <si>
    <t>Toluene</t>
  </si>
  <si>
    <t>C7H8</t>
  </si>
  <si>
    <t>Cc1ccccc1</t>
  </si>
  <si>
    <t>InChI=1S/C7H8/c1-7-5-3-2-4-6-7/h2-6H,1H3</t>
  </si>
  <si>
    <t>TOLUENE</t>
  </si>
  <si>
    <t>TRO2</t>
  </si>
  <si>
    <t>Peroxy radical from TOLU oxidation</t>
  </si>
  <si>
    <t>C7H9O5</t>
  </si>
  <si>
    <t>InChI=1S/C7H7O2/c8-9-6-7-4-2-1-3-5-7/h1-5H,6H2;InChI=1S/C7H9O5/c1-7-3-2-4(10-9)5(6(7)8)11-12-7/h2-6,8H,1H3</t>
  </si>
  <si>
    <t>C6H5CH2O2;TLBIPERO2</t>
  </si>
  <si>
    <t>C615CO3;C617CO3;C618CO3;C626CO3;C715O2;C716O2;C717O2;C735O2;C73O2;C74O2;C7CO3OHO;C821O2;CO25C6CO3;CRESO;EPXEKTCO3;EPXMEDLCO3;IPMALANHYO;MC6OTKETO;PMALANHYO;TLBIPERO2;TLEMUCO</t>
  </si>
  <si>
    <t>TSOA0</t>
  </si>
  <si>
    <t>Lumped semivolatile aerosol products of monoterpene + sesquiterpene oxidation</t>
  </si>
  <si>
    <t>TSOA1</t>
  </si>
  <si>
    <t>TSOA2</t>
  </si>
  <si>
    <t>TSOA3</t>
  </si>
  <si>
    <t>TSOG0</t>
  </si>
  <si>
    <t>Lumped semivolatile gas products of monoterpene + sesquiterpene oxidation</t>
  </si>
  <si>
    <t>TSOG1</t>
  </si>
  <si>
    <t>TSOG2</t>
  </si>
  <si>
    <t>TSOG3</t>
  </si>
  <si>
    <t>TSOG4</t>
  </si>
  <si>
    <t>TiF1</t>
  </si>
  <si>
    <t>Ti</t>
  </si>
  <si>
    <t>TiF2</t>
  </si>
  <si>
    <t>VRO2</t>
  </si>
  <si>
    <t>RO2 from MVK+OH</t>
  </si>
  <si>
    <t>HOCH2CH(OO)C(O)CH3</t>
  </si>
  <si>
    <t>VRP</t>
  </si>
  <si>
    <t>Peroxide from VRO2</t>
  </si>
  <si>
    <t>HOCH2CH(OOH)C(O)CH3</t>
  </si>
  <si>
    <t>XRO2</t>
  </si>
  <si>
    <t>C8H11O5</t>
  </si>
  <si>
    <t>C718CO3;C721CO3;C727CO3;C731CO3;C7MCO3OHO;C820O;C828O2;C83O2;C87O2;C8CO3OHO;EBENZOLO;EBZBIPERO2;EBZMUCO;MXYBIPERO2;MXYMUCO;MXYOLO;OXYBIPERO2;OXYMUCO;OXYOLO;PEBQO2;PXYBIPERO2;PXYMUCO;PXYOLO</t>
  </si>
  <si>
    <t>XYLE</t>
  </si>
  <si>
    <t>Xylene</t>
  </si>
  <si>
    <t>C8H10</t>
  </si>
  <si>
    <t>InChI=1S/C8H10/c1-7-3-5-8(2)6-4-7/h3-6H,1-2H3;InChI=1S/C8H10/c1-7-4-3-5-8(2)6-7/h3-6H,1-2H3;InChI=1S/C8H10/c1-7-5-3-4-6-8(7)2/h3-6H,1-2H3</t>
  </si>
  <si>
    <t>MXYL;OXYL;PXYL</t>
  </si>
  <si>
    <t>EBENZ</t>
  </si>
  <si>
    <t>pFe</t>
  </si>
  <si>
    <t>Anthropogenic iron</t>
  </si>
  <si>
    <t>2nd gen monoterpene organic nitrate-alcohol</t>
  </si>
  <si>
    <t>Saturated 1st gen monoterpene organic nitrate  (is MTOX in Wolfe et al., 2011 )</t>
  </si>
  <si>
    <t>Unsaturated 1st gen monoterpene organic nitrate  (is MTOX in Wolfe et al., 2011 )</t>
  </si>
  <si>
    <t>Monoterpene derived NO3-alkene adduct-RO2 that primarily decomposes ; is MTOX in Wolfe et al., 2011 )</t>
  </si>
  <si>
    <t xml:space="preserve">Monoterpene derived NO3-alkene adduct-RO2 that primarily retains the NO3 functional group  (is MTOX in Wolfe et al., 2011) </t>
  </si>
  <si>
    <t>NAPINAO2;NAPINBO2;NBPINAO2;NBPINBO2;NLIMO2;NNLIMO2;</t>
  </si>
  <si>
    <t>LIMAOOH;LIMBOOH;LIMCOOH;APINAOOH;APINBOOH;APINCOOH;BPINAOOH;BPINBOOH; BPINCOOH;C923OOH;C822OOH;C1011OOH</t>
  </si>
  <si>
    <t>APINANO3;APINBNO3;BPINANO3;BPINBNO3;NAPINAOOH;NAPINBOOH;NBPINAOOH;NBPINBOOH;</t>
  </si>
  <si>
    <t xml:space="preserve">LIMANO3;LIMBNO3;LIMCNO3;NLIMOOH;NLIMBOOH; </t>
  </si>
  <si>
    <t>pNNLIMOH;pNNLIMOH_DIOL;pNNLIMOOH;pNNLIMOOH_DIOL;pNLIMKET;pNLIMKET_DIOL;pNNLIMBOH;pNNLIMBOH_DIOL;pNNLIMBOOH;pNNLIMBOOH_DIOL;pNLMLKET;pNLMLKET_DIOL;pAPINANO3;pAPINANO3_DIOL;pAPINBNO3;pAPINBNO3_DIOL;pAPINCNO3;pAPINCNO3_DIOL;pBPINANO3;pBPINANO3_DIOL;pBPINBNO3;pBPINBNO3_DIOL;pBPINCNO3;pBPINCNO3_DIOL;pC106NO3;pC106NO3_DIOL;pC108NO3;pC108NO3_DIOL;pC47CHO;pC47CHO_DIOL;pC47CO3H;pC47CO3H_DIOL;pC4M2ALOHNO3;pC4M2ALOHNO3_DIOL;pC512NO3;pC512NO3_DIOL;pC514NO3;pC514NO3_DIOL;pC517NO3;pC517NO3_DIOL;pC57NO3CO2H;pC57NO3CO2H_DIOL;pC57NO3CO3H;pC57NO3CO3H_DIOL;pC58NO3;pC58NO3CO2H;pC58NO3CO2H_DIOL;pC58NO3CO3H;pC58NO3CO3H_DIOL;pC58NO3_DIOL;pC614NO3;pC614NO3_DIOL;pC622NO3;pC622NO3_DIOL;pC623NO3;pC623NO3_DIOL;pC624NO3;pC624NO3_DIOL;pC626NO3;pC626NO3_DIOL;pC717NO3;pC717NO3_DIOL;pC718NO3;pC718NO3_DIOL;pC719NO3;pC719NO3_DIOL;pC720NO3;pC720NO3_DIOL;pC728NO3;pC728NO3_DIOL;pC729NO3;pC729NO3_DIOL;pC730NO3;pC730NO3_DIOL;pC731NO3;pC731NO3_DIOL;pC732NO3;pC732NO3_DIOL;pC810NO3;pC810NO3_DIOL;pC811NO3;pC811NO3_DIOL;pC813NO3;pC813NO3_DIOL;pC817NO3;pC817NO3_DIOL;pC822NO3;pC822NO3_DIOL;pC823NO3;pC823NO3_DIOL;pC826NO3;pC826NO3_DIOL;pC89NO3;pC89NO3_DIOL;pC8BCNO3;pC8BCNO3_DIOL;pC915NO3;pC915NO3_DIOL;pC916NO3;pC916NO3_DIOL;pC917NO3;pC917NO3_DIOL;pC918NO3;pC918NO3_DIOL;pC919NO3;pC919NO3_DIOL;pC923NO3;pC923NO3_DIOL;pC96NO3;pC96NO3_DIOL;pC98NO3;pC98NO3_DIOL;pC9DCNO3;pC9DCNO3_DIOL;pCO2N3CHO;pCO2N3CHO_DIOL;pCO2N3CO3H;pCO2N3CO3H_DIOL;pCONM2CHO;pCONM2CHO_DIOL;pCONM2CO2H;pCONM2CO2H_DIOL;pCONM2CO3H;pCONM2CO3H_DIOL;pETHOHNO3;pETHOHNO3_DIOL;pINB1NACHO;pINB1NACHO_DIOL;pINB1NACO2H;pINB1NACO2H_DIOL;pINB1NACO3H;pINB1NACO3H_DIOL;pINB1NBCHO;pINB1NBCHO_DIOL;pINB1NBCO2H;pINB1NBCO2H_DIOL;pINB1NBCO3H;pINB1NBCO3H_DIOL;pINCCO;pINCCO_DIOL;pINCGLYOX;pINCGLYOX_DIOL;pINCNCO2H;pINCNCO2H_DIOL;pINCNCO3H;pINCNCO3H_DIOL;pINCOH;pINCOH_DIOL;pINDHCHO;pINDHCHO_DIOL;pINDHCO3H;pINDHCO3H_DIOL;pINDHPCO3H;pINDHPCO3H_DIOL;pINDOH;pINDOH_DIOL;pLIMALNO3;pLIMALNO3_DIOL;pLIMANO3;pLIMANO3_DIOL;pLIMBNO3;pLIMBNO3_DIOL;pLIMCNO3;pLIMCNO3_DIOL;pLMKANO3;pLMKANO3_DIOL;pLMKBNO3;pLMKBNO3_DIOL;pMACRNBCO2H;pMACRNBCO2H_DIOL;pMACRNBCO3H;pMACRNBCO3H_DIOL;pMEKANO3;pMEKANO3_DIOL;pMMALNACO2H;pMMALNACO2H_DIOL;pMMALNACO3H;pMMALNACO3H_DIOL;pMMALNBCO2H;pMMALNBCO2H_DIOL;pMMALNBCO3H;pMMALNBCO3H_DIOL;pNAPINAOOH;pNAPINAOOH_DIOL;pNAPINBOOH;pNAPINBOOH_DIOL;pNBPINAOOH;pNBPINAOOH_DIOL;pNBPINBOOH;pNBPINBOOH_DIOL;pNC101CO;pNC101CO_DIOL;pNC101OOH;pNC101OOH_DIOL;pNC102OOH;pNC102OOH_DIOL;pNC3OO;pNC3OOA;pNC3OOA_DIOL;pNC3OO_DIOL;pNC4OO;pNC4OOA;pNC4OOA_DIOL;pNC4OO_DIOL;pNC61CO3H;pNC61CO3H_DIOL;pNC623OH;pNC623OH_DIOL;pNC623OOH;pNC623OOH_DIOL;pNC71CO;pNC71CO_DIOL;pNC71OOH;pNC71OOH_DIOL;pNC728OH;pNC728OH_DIOL;pNC728OOH;pNC728OOH_DIOL;pNC72OOH;pNC72OOH_DIOL;pNC730OH;pNC730OH_DIOL;pNC730OOH;pNC730OOH_DIOL;pNC826OH;pNC826OH_DIOL;pNC826OOH;pNC826OOH_DIOL;pNC91CHO;pNC91CHO_DIOL;pNC91CO3H;pNC91CO3H_DIOL;pNLIMALOH;pNLIMALOH_DIOL;pNLIMALOOH;pNLIMALOOH_DIOL;pNLIMOOH;pNLIMOOH_DIOL;pNLMKAOOH;pNLMKAOOH_DIOL;pNOPINANO3;pNOPINANO3_DIOL;pNOPINBNO3;pNOPINBNO3_DIOL;pNOPINCNO3;pNOPINCNO3_DIOL;pNPXYFUOOH;pNPXYFUOOH_DIOL;pPINALNO3;pPINALNO3_DIOL;pTBUTOLNO3;pTBUTOLNO3_DIOL</t>
  </si>
  <si>
    <t>FullName</t>
  </si>
  <si>
    <t>MW_g</t>
  </si>
  <si>
    <t>INCHI</t>
  </si>
  <si>
    <t>ACO3</t>
  </si>
  <si>
    <t>C3H3O3</t>
  </si>
  <si>
    <t>Peroxyacetyl radical for APAN</t>
  </si>
  <si>
    <t>ACR</t>
  </si>
  <si>
    <t>C3H4O</t>
  </si>
  <si>
    <t>Acrolein</t>
  </si>
  <si>
    <t>ACRO2</t>
  </si>
  <si>
    <t>C3H5O4</t>
  </si>
  <si>
    <t>Peroxy radical from ACR</t>
  </si>
  <si>
    <t>Lumped C4+C5 Alkanes</t>
  </si>
  <si>
    <t>ALK4N1</t>
  </si>
  <si>
    <t>Peroxy radical from ALK4N2</t>
  </si>
  <si>
    <t>ALK4N2</t>
  </si>
  <si>
    <t>Lumped alkyl nitrate from ALK4</t>
  </si>
  <si>
    <t>ALK4O2</t>
  </si>
  <si>
    <t>ALK4P</t>
  </si>
  <si>
    <t>Peroxide from ALK4O2</t>
  </si>
  <si>
    <t>ALK6</t>
  </si>
  <si>
    <t>C7H16</t>
  </si>
  <si>
    <t>Lumped &gt;= C6 Alkanes</t>
  </si>
  <si>
    <t>APAN</t>
  </si>
  <si>
    <t>C3H3NO5</t>
  </si>
  <si>
    <t>Peroxyacryloyl nitrate</t>
  </si>
  <si>
    <t>APINN</t>
  </si>
  <si>
    <t>1st gen organic nitrate from APIN</t>
  </si>
  <si>
    <t>APINO2</t>
  </si>
  <si>
    <t>Peroxy radical from APIN</t>
  </si>
  <si>
    <t>APINP</t>
  </si>
  <si>
    <t>Hydroperoxide from APIN</t>
  </si>
  <si>
    <t>InChI=1S/C10H18O3/c1-2-13-9(12)10(8-11)6-4-3-5-7-10/h11H,2-8H2,1H3</t>
  </si>
  <si>
    <t>AROMCHO</t>
  </si>
  <si>
    <t>C5H6O4</t>
  </si>
  <si>
    <t>ACCOMECHO from MCM</t>
  </si>
  <si>
    <t>AROMCO3</t>
  </si>
  <si>
    <t>C5H5O6</t>
  </si>
  <si>
    <t>Lumped aromatic peroxyacetyl radical</t>
  </si>
  <si>
    <t>AROMPN</t>
  </si>
  <si>
    <t>C5H5NO8</t>
  </si>
  <si>
    <t>Lumped PN from aromatics</t>
  </si>
  <si>
    <t>CH3C(O)CH2OOH</t>
  </si>
  <si>
    <t>ATO2 peroxide</t>
  </si>
  <si>
    <t>BPINN</t>
  </si>
  <si>
    <t>Saturated 1st gen BPIN organic nitrate</t>
  </si>
  <si>
    <t>BPINO</t>
  </si>
  <si>
    <t>C9H14O</t>
  </si>
  <si>
    <t>Ketone from BPIN</t>
  </si>
  <si>
    <t>BPINO2</t>
  </si>
  <si>
    <t>Peroxy radical from BPIN</t>
  </si>
  <si>
    <t>BPINON</t>
  </si>
  <si>
    <t>C9H13NO4</t>
  </si>
  <si>
    <t>Saturated 2nd gen BPIN organic nitrate</t>
  </si>
  <si>
    <t>BPINOO2</t>
  </si>
  <si>
    <t>2nd-gen peroxy radical from BPIN</t>
  </si>
  <si>
    <t>BPINOOH</t>
  </si>
  <si>
    <t>C9H14O3</t>
  </si>
  <si>
    <t>2nd-gen peroxide from BPIN</t>
  </si>
  <si>
    <t>BPINP</t>
  </si>
  <si>
    <t>Peroxide from BPIN</t>
  </si>
  <si>
    <t>BUTDI</t>
  </si>
  <si>
    <t>Butenedial</t>
  </si>
  <si>
    <t>BUTN</t>
  </si>
  <si>
    <t>C4H7NO4</t>
  </si>
  <si>
    <t>C4H6 alkyl nitrate</t>
  </si>
  <si>
    <t>BUTO2</t>
  </si>
  <si>
    <t>peroxy radical from C4H6</t>
  </si>
  <si>
    <t>C4H6</t>
  </si>
  <si>
    <t>1,3-butadiene</t>
  </si>
  <si>
    <t>C4 hydroxy-vinyl peroxy radicals from HPALDS</t>
  </si>
  <si>
    <t>C96N</t>
  </si>
  <si>
    <t>C9H15NO4</t>
  </si>
  <si>
    <t>Saturated 2nd gen monoterpene organic nitrate</t>
  </si>
  <si>
    <t>InChI=1S/C9H15NO4/c1-9(2,3)14-8(13)10-5-4-6(10)7(11)12/h6H,4-5H2,1-3H3,(H,11,12)/t6-/m0/s1
InChI=1S/C9H15NO4/c1-9(2,3)14-8(13)10-5-4-6(10)7(11)12/h6H,4-5H2,1-3H3,(H,11,12)
InChI=1S/C9H15NO4/c1-9(2,3)14-8(13)10-5-4-6(10)7(11)12/h6H,4-5H2,1-3H3,(H,11,12)/t6-/m1/s1</t>
  </si>
  <si>
    <t>C96O2</t>
  </si>
  <si>
    <t>2nd-gen peroxy radical from APIN</t>
  </si>
  <si>
    <t>C96O2H</t>
  </si>
  <si>
    <t>C9H16O3</t>
  </si>
  <si>
    <t>Peroxide from APIN 2nd gen</t>
  </si>
  <si>
    <t>InChI=1S/C9H16O3/c1-2-12-8(11)9(7-10)5-3-4-6-9/h10H,2-7H2,1H3</t>
  </si>
  <si>
    <t>InChI=1S/CH2Br2/c2-1-3/h1H2</t>
  </si>
  <si>
    <t>(CH3)2S</t>
  </si>
  <si>
    <t>EBZ</t>
  </si>
  <si>
    <t>Ethylbenzene</t>
  </si>
  <si>
    <t>CHOCH2ONO2</t>
  </si>
  <si>
    <t>Ethanol nitrate</t>
  </si>
  <si>
    <t>FURA</t>
  </si>
  <si>
    <t>C4H4O</t>
  </si>
  <si>
    <t>Furan</t>
  </si>
  <si>
    <t>GCO3</t>
  </si>
  <si>
    <t>HOCH2CO3</t>
  </si>
  <si>
    <t>Peroxyacetyl radical for PHAN</t>
  </si>
  <si>
    <t>Glycoaldehyde</t>
  </si>
  <si>
    <t>CHOCHO</t>
  </si>
  <si>
    <t>HOCH2C(O)CH3</t>
  </si>
  <si>
    <t>HACTA</t>
  </si>
  <si>
    <t>HOCH2CO2H</t>
  </si>
  <si>
    <t>Hydroxyacetic/glycolic acid</t>
  </si>
  <si>
    <t>isoprene-4,1-hydroxyaldehyde</t>
  </si>
  <si>
    <t>HOCH2OOH</t>
  </si>
  <si>
    <t>hydroxymethyl-methyl-a-lactone</t>
  </si>
  <si>
    <t>InChI=1S/C4H6O3/c5-4(6)3-1-7-2-3/h3H,1-2H2,(H,5,6)</t>
  </si>
  <si>
    <t>HOCH2SO3−</t>
  </si>
  <si>
    <t>2nd gen monoterpene organic nitrate</t>
  </si>
  <si>
    <t>d-4,1-C5-hydroperoxyaldehyde</t>
  </si>
  <si>
    <t>d-1,4-C5-hydroperoxyaldehyde</t>
  </si>
  <si>
    <t>b-2,1-C5-hydroperoxyaldehyde</t>
  </si>
  <si>
    <t>b-3,4-C5-hydroperoxyaldehyde</t>
  </si>
  <si>
    <t>HOOCH2CHO</t>
  </si>
  <si>
    <t>Peroxy radical from IEPOXD</t>
  </si>
  <si>
    <t>Lumped isoprene carbonyl-nitrates</t>
  </si>
  <si>
    <t>C5H8NO7</t>
  </si>
  <si>
    <t>Peroxy radicals from ICN</t>
  </si>
  <si>
    <t>Isoprene dihydroxy hydroperoxycarbonyl</t>
  </si>
  <si>
    <t>InChI=1S/C5H10O5/c6-1-3(8)5(10)4(9)2-7/h1,3-5,7-10H,2H2/t3-,4-,5+/m1/s1
InChI=1S/C5H10O5/c6-1-3(8)5(10)4(9)2-7/h1,3-5,7-10H,2H2/t3-,4+,5-/m0/s1
InChI=1S/C5H10O5/c6-1-3(8)5(10)4(9)2-7/h1,3-5,7-10H,2H2/t3-,4-,5+/m0/s1
InChI=1S/C5H10O5/c6-1-3(8)5(10)4(9)2-7/h1,3-5,7-10H,2H2/t3-,4+,5-/m1/s1</t>
  </si>
  <si>
    <t>Lumped isoprene dicarbonyls</t>
  </si>
  <si>
    <t>Isoprene dicarbonyl hydroxy dihydroperoxide</t>
  </si>
  <si>
    <t>Isoprene dihydroxy dihydroperoxide</t>
  </si>
  <si>
    <t>Peroxy radicals from INPB</t>
  </si>
  <si>
    <t>Peroxy radicals from INPD</t>
  </si>
  <si>
    <t>Isoprene dihydroxy hydroperoxy epoxide</t>
  </si>
  <si>
    <t>C5H8N2O6</t>
  </si>
  <si>
    <t>Lumped isoprene dinitrates</t>
  </si>
  <si>
    <t>C5H9N2O6</t>
  </si>
  <si>
    <t>C4H10O3</t>
  </si>
  <si>
    <t>trans-Beta isoprene epoxydiol</t>
  </si>
  <si>
    <t>Peroxy radical from trans-Beta isoprene epoxydiol</t>
  </si>
  <si>
    <t>cis-Beta isoprene epoxydiol</t>
  </si>
  <si>
    <t>peroxy radical from cis-Beta isoprene epoxydiol</t>
  </si>
  <si>
    <t>Delta isoprene epoxydiol</t>
  </si>
  <si>
    <t>Isoprene-d-4,1-hydroxynitrate</t>
  </si>
  <si>
    <t>Isoprene-b-1,2-hydroxynitrate</t>
  </si>
  <si>
    <t>Isoprene-b-4,3-hydroxynitrate</t>
  </si>
  <si>
    <t>Peroxy radical from OH addition to isoprene at C1</t>
  </si>
  <si>
    <t>Peroxy radical from OH addition to isoprene at C4</t>
  </si>
  <si>
    <t>Peroxy radical from ISOPOOH</t>
  </si>
  <si>
    <t>Alkoxy radical from INO2D</t>
  </si>
  <si>
    <t>Nitrosyl iodide</t>
  </si>
  <si>
    <t>beta-peroxy radicals from isoprene + NO3</t>
  </si>
  <si>
    <t>delta-peroxy radicals from isoprene + NO3</t>
  </si>
  <si>
    <t>Lumped b-hydroperoxy isoprene nitrates</t>
  </si>
  <si>
    <t>Lumped d-hydroperoxy isoprene nitrates</t>
  </si>
  <si>
    <t>CH2=C(CH3)CH=CH2</t>
  </si>
  <si>
    <t>Peroxy radicals from IHN2</t>
  </si>
  <si>
    <t>Peroxy radicals from IHN3</t>
  </si>
  <si>
    <t>C5H9NO7</t>
  </si>
  <si>
    <t>lumped isoprene tetrafunctional carbonylnitrates</t>
  </si>
  <si>
    <t>C5H11NO7</t>
  </si>
  <si>
    <t>Lumped isoprene tetrafunctional hydroxynitrates</t>
  </si>
  <si>
    <t>LIMAL</t>
  </si>
  <si>
    <t>C10H16O2</t>
  </si>
  <si>
    <t>Aldehyde from limonene</t>
  </si>
  <si>
    <t>InChI=1S/C10H16O2/c1-6(2)8-5-9(11)7(3)4-10(8)12/h4,6,8,10,12H,5H2,1-3H3/t8-,10+/m0/s1
InChI=1S/C10H16O2/c1-6(2)8-5-9(11)7(3)4-10(8)12/h4,6,8,10,12H,5H2,1-3H3/t8-,10-/m0/s1</t>
  </si>
  <si>
    <t>LIMKB</t>
  </si>
  <si>
    <t>C10H16O3</t>
  </si>
  <si>
    <t>2nd gen ketone from limonene</t>
  </si>
  <si>
    <t>InChI=1S/C10H16O3/c1-2-13-10(12)7-9(11)8-5-3-4-6-8/h8H,2-7H2,1H3</t>
  </si>
  <si>
    <t>LIMKET</t>
  </si>
  <si>
    <t>Ketone from limonene</t>
  </si>
  <si>
    <t>LIMKO2</t>
  </si>
  <si>
    <t>2nd-gen peroxy radical from LIMO</t>
  </si>
  <si>
    <t>LIMN</t>
  </si>
  <si>
    <t>Saturated 1st gen limonene organic nitrate</t>
  </si>
  <si>
    <t>LIMNB</t>
  </si>
  <si>
    <t>C10H15NO4</t>
  </si>
  <si>
    <t>Saturated 1st gen LIMO organic nitrate</t>
  </si>
  <si>
    <t>LIMO2H</t>
  </si>
  <si>
    <t>Acid from LIMO</t>
  </si>
  <si>
    <t>LIMO3</t>
  </si>
  <si>
    <t>Acylperoxy radical from LIMO</t>
  </si>
  <si>
    <t>LIMO3H</t>
  </si>
  <si>
    <t>C10H18O4</t>
  </si>
  <si>
    <t>Peracid from LIMO</t>
  </si>
  <si>
    <t>InChI=1S/C10H18O4/c1-3-7-11-9(5-1)13-14-10-6-2-4-8-12-10/h9-10H,1-8H2</t>
  </si>
  <si>
    <t>LIMPAN</t>
  </si>
  <si>
    <t>PAN from LIMO</t>
  </si>
  <si>
    <t>CH2=C(CH3)CHO</t>
  </si>
  <si>
    <t>Peroxyacyl radical from MACR + OH</t>
  </si>
  <si>
    <t>Peracid from MACR</t>
  </si>
  <si>
    <t>Product of MCRHN + OH</t>
  </si>
  <si>
    <t>CH3C(O)OO</t>
  </si>
  <si>
    <t>Peroxyacetyl radical</t>
  </si>
  <si>
    <t>InChI=1S/C2H3O3/c1-2(3)5-4/h1H3</t>
  </si>
  <si>
    <t>Dihydroxy-methacrolein</t>
  </si>
  <si>
    <t>Lumped enols from MVK/MACR</t>
  </si>
  <si>
    <t>O2NOCH2C(OH)(CH3)CHO</t>
  </si>
  <si>
    <t>Hydroxy-hydroperoxy-methacrolein</t>
  </si>
  <si>
    <t>Peroxy radical from MACR + OH</t>
  </si>
  <si>
    <t>RC(O)R</t>
  </si>
  <si>
    <t>MEKCO3</t>
  </si>
  <si>
    <t>MEKPN</t>
  </si>
  <si>
    <t>C3H5NO6</t>
  </si>
  <si>
    <t>MEK peroxyacetyl nitrate</t>
  </si>
  <si>
    <t>CH3COCHO</t>
  </si>
  <si>
    <t>Methylglyoxal</t>
  </si>
  <si>
    <t>Saturated 1st gen monoterpene organic nitrate</t>
  </si>
  <si>
    <t>Unsaturated 1st gen monoterpene organic nitrate</t>
  </si>
  <si>
    <t>Peroxymethacroyl nitrate (PMN)</t>
  </si>
  <si>
    <t>CH4SO3</t>
  </si>
  <si>
    <t>CH2=CHC(=O)CH3</t>
  </si>
  <si>
    <t>HOCH2CH2OHC(O)CH3</t>
  </si>
  <si>
    <t>MVK hydroxy-carbonyl</t>
  </si>
  <si>
    <t>MVK hydroxy-hydroperoxide</t>
  </si>
  <si>
    <t>HOCH2CH(ONO2)C(=O)CH3</t>
  </si>
  <si>
    <t>Nitrate from MVK</t>
  </si>
  <si>
    <t>Peroxy radical from MVK + OH</t>
  </si>
  <si>
    <t>MYRCO</t>
  </si>
  <si>
    <t>Aldehyde or ketone from myrcene</t>
  </si>
  <si>
    <t>Monoterpene-derived NO3-alkene adduct</t>
  </si>
  <si>
    <t>Monoterpene-derived NO3 adduct</t>
  </si>
  <si>
    <t>CH3C(O)OONO2</t>
  </si>
  <si>
    <t>PH2SO4</t>
  </si>
  <si>
    <t>SO4 from gas-phase chemistry</t>
  </si>
  <si>
    <t>PHAN</t>
  </si>
  <si>
    <t>C2H3NO6</t>
  </si>
  <si>
    <t>Peroxyhydroxyacetic nitric anhydride</t>
  </si>
  <si>
    <t>PIN</t>
  </si>
  <si>
    <t>PINAL</t>
  </si>
  <si>
    <t>Pinonaldehyde</t>
  </si>
  <si>
    <t>PINO3</t>
  </si>
  <si>
    <t>Acylperoxy radical from APIN</t>
  </si>
  <si>
    <t>PINO3H</t>
  </si>
  <si>
    <t>Pinonic peracid</t>
  </si>
  <si>
    <t>PINONIC</t>
  </si>
  <si>
    <t>Pinonic acid</t>
  </si>
  <si>
    <t>PINPAN</t>
  </si>
  <si>
    <t>PAN from pinonaldehyde</t>
  </si>
  <si>
    <t>CH3CH2C(O)OONO2</t>
  </si>
  <si>
    <t>CH3C(=O)CH2ONO2</t>
  </si>
  <si>
    <t>Propanone nitrate</t>
  </si>
  <si>
    <t>PSO4AQ</t>
  </si>
  <si>
    <t>SO4 from cloud chemistry</t>
  </si>
  <si>
    <t>Pyruvic acid</t>
  </si>
  <si>
    <t>Peroxy radical from isoprene and MTPA alkyl generation</t>
  </si>
  <si>
    <t>R7N1</t>
  </si>
  <si>
    <t>C7H15NO5</t>
  </si>
  <si>
    <t>Peroxy radical from R7N2</t>
  </si>
  <si>
    <t>R7N2</t>
  </si>
  <si>
    <t>C7 Lumped alkyl nitrate</t>
  </si>
  <si>
    <t>R7O2</t>
  </si>
  <si>
    <t>C7H15O2</t>
  </si>
  <si>
    <t>Peroxy radical from ALK6</t>
  </si>
  <si>
    <t>R7P</t>
  </si>
  <si>
    <t>C7H16O2</t>
  </si>
  <si>
    <t>Peroxide from R7O2</t>
  </si>
  <si>
    <t>1,2-ISOPOOH</t>
  </si>
  <si>
    <t>4,3-ISOPOOH</t>
  </si>
  <si>
    <t>d-1,4-ISOPOOH</t>
  </si>
  <si>
    <t>d-4,1-ISOPOOH</t>
  </si>
  <si>
    <t>RNO3</t>
  </si>
  <si>
    <t>Lumped aromatic nitrate</t>
  </si>
  <si>
    <t>C2H2O2</t>
  </si>
  <si>
    <t>STYR</t>
  </si>
  <si>
    <t>C8H8</t>
  </si>
  <si>
    <t>Styrene</t>
  </si>
  <si>
    <t>TLFUO2</t>
  </si>
  <si>
    <t>TLFUONE</t>
  </si>
  <si>
    <t>Aromatic furanones</t>
  </si>
  <si>
    <t>TMB</t>
  </si>
  <si>
    <t>Trimethylbenzenes</t>
  </si>
  <si>
    <t>ZRO2</t>
  </si>
  <si>
    <t>RO2 for making lumped aromatic nitrate</t>
  </si>
  <si>
    <t xml:space="preserve"> </t>
  </si>
  <si>
    <t>InChI=1S/HI/h1H/p-1</t>
  </si>
  <si>
    <t>InChI=1S/BrH/h1H/p-1</t>
  </si>
  <si>
    <t>InChI=1S/C10H16/c1-7-4-5-8-6-9(7)10(8,2)3/h4,8-9H,5-6H2,1-3H3;InChI=1S/C10H16/c1-7-4-5-8-6-9(7)10(8,2)3/h8-9H,1,4-6H2,2-3H3;InChI=1S/C10H16/c1-7(2)10-5-4-8(3)9(10)6-10/h7,9H,3-6H2,1-2H3;InChI=1S/C10H16/c1-7-4-5-8-9(6-7)10(8,2)3/h4,8-9H,5-6H2,1-3H3</t>
  </si>
  <si>
    <t>InChI=1S/C10H16/c1-8(2)10-6-4-9(3)5-7-10/h4,7-8H,5-6H2,1-3H3;InChI=1S/C10H16/c1-8(2)10-6-4-9(3)5-7-10/h4,6,8H,5,7H2,1-3H3;InChI=1S/C10H16/c1-8(2)10-6-4-9(3)5-7-10/h4H,5-7H2,1-3H3;InChI=1S/C10H16/c1-5-10(4)8-6-7-9(2)3/h5,7H,1,4,6,8H2,2-3H3;InChI=1S/C10H16/c1-5-10(4)8-6-7-9(2)3/h5,7-8H,1,6H2,2-4H3/b10-8+;InChI=1S/C10H16/c1-5-10(4)8-6-7-9(2)3/h5,7-8H,1,6H2,2-4H3/b10-8-;InChI=1S/C10H16/c1-5-10(4)8-6-7-9(2)3/h5,8H,1-2,6-7H2,3-4H3/b10-8-;InChI=1S/C10H16/c1-5-10(4)8-6-7-9(2)3/h5,7-8H,1,6H2,2-4H3;InChI=1S/C10H14/c1-8(2)10-6-4-9(3)5-7-10/h4-8H,1-3H3;InChI=1S/C10H14/c1-8(2)10-7-5-4-6-9(10)3/h4-8H,1-3H3;InChI=1S/C10H14/c1-8(2)10-6-4-5-9(3)7-10/h4-8H,1-3H3</t>
  </si>
  <si>
    <t>InChI=1S/C3H6NO5/c1-3(2-8-7)9-4(5)6/h3H,2H2,1H3;InChI=1S/C3H6NO5/c1-3(9-7)2-8-4(5)6/h3H,2H2,1H3</t>
  </si>
  <si>
    <t>InChI=1S/C3H6O3/c1-2-3(4)6-5/h5H,2H2,1H3;InChI=1S/C3H6O2/c1-2-3(4)5/h2H2,1H3,(H,4,5)</t>
  </si>
  <si>
    <t>InChI=1S/H</t>
  </si>
  <si>
    <t>Cl-</t>
  </si>
  <si>
    <t>NO3-</t>
  </si>
  <si>
    <t>I-</t>
  </si>
  <si>
    <t>InChI=1S/CH4O4S/c2-1-6(3,4)5/h2H,1H2,(H,3,4,5)/p-1 </t>
  </si>
  <si>
    <t>InChI=1S/C5H6O4/c1-4(7)9-5(8)2-3-6/h3H,2H2,1H3</t>
  </si>
  <si>
    <t>InChI=1S/C4H4O2/c5-3-1-2-4-6/h1-4H/b2-1+</t>
  </si>
  <si>
    <t>InChI=1S/C4H6/c1-3-4-2/h3-4H,1-2H2</t>
  </si>
  <si>
    <t>InChI=1S/C8H10/c1-2-8-6-4-3-5-7-8/h3-7H,2H2,1H3</t>
  </si>
  <si>
    <t>InChI=1S/C4H4O/c1-2-4-5-3-1/h1-4H</t>
  </si>
  <si>
    <t>InChI=1S/C2H4O3/c3-1-2(4)5/h3H,1H2,(H,4,5) </t>
  </si>
  <si>
    <t>InChI=1S/INO/c1-2-3</t>
  </si>
  <si>
    <t>InChI=1S/ClH/h1H/p-1</t>
  </si>
  <si>
    <t>InChI=1S/C8H8/c1-2-8-6-4-3-5-7-8/h2-7H,1H2</t>
  </si>
  <si>
    <t>LUMPED</t>
  </si>
  <si>
    <t>InChI=1S/C3H4O/c1-2-3-4/h2-3H,1H2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</si>
</sst>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Segoe U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3" borderId="0" xfId="0" applyFill="1"/>
    <xf numFmtId="0" fontId="4" fillId="0" borderId="1" xfId="0" applyFont="1" applyBorder="1" applyAlignment="1">
      <alignment horizontal="center" vertical="top"/>
    </xf>
    <xf numFmtId="0" fontId="3" fillId="0" borderId="0" xfId="0" applyFont="1"/>
    <xf numFmtId="0" fontId="4" fillId="3" borderId="1" xfId="0" applyFont="1" applyFill="1" applyBorder="1" applyAlignment="1">
      <alignment horizontal="center" vertical="top"/>
    </xf>
    <xf numFmtId="0" fontId="0" fillId="5" borderId="0" xfId="0" applyFill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2" fillId="0" borderId="0" xfId="0" applyFont="1"/>
    <xf numFmtId="0" fontId="3" fillId="3" borderId="0" xfId="0" applyFont="1" applyFill="1"/>
    <xf numFmtId="0" fontId="8" fillId="3" borderId="0" xfId="0" applyFont="1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3" fillId="2" borderId="0" xfId="0" applyFont="1" applyFill="1"/>
    <xf numFmtId="0" fontId="0" fillId="6" borderId="0" xfId="0" applyFill="1"/>
    <xf numFmtId="0" fontId="3" fillId="0" borderId="0" xfId="0" applyFont="1" applyFill="1"/>
    <xf numFmtId="0" fontId="2" fillId="0" borderId="0" xfId="0" applyFont="1" applyFill="1"/>
    <xf numFmtId="0" fontId="7" fillId="0" borderId="0" xfId="0" applyFont="1" applyFill="1"/>
    <xf numFmtId="0" fontId="6" fillId="0" borderId="0" xfId="0" applyFont="1" applyFill="1"/>
    <xf numFmtId="0" fontId="1" fillId="6" borderId="1" xfId="0" applyFont="1" applyFill="1" applyBorder="1" applyAlignment="1">
      <alignment horizontal="center" vertical="top"/>
    </xf>
    <xf numFmtId="0" fontId="2" fillId="6" borderId="0" xfId="0" applyFont="1" applyFill="1"/>
    <xf numFmtId="0" fontId="4" fillId="6" borderId="1" xfId="0" applyFont="1" applyFill="1" applyBorder="1" applyAlignment="1">
      <alignment horizontal="center" vertical="top"/>
    </xf>
    <xf numFmtId="0" fontId="3" fillId="6" borderId="0" xfId="0" applyFont="1" applyFill="1"/>
    <xf numFmtId="0" fontId="9" fillId="6" borderId="0" xfId="0" applyFont="1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3" fillId="7" borderId="0" xfId="0" applyFont="1" applyFill="1"/>
    <xf numFmtId="0" fontId="4" fillId="7" borderId="1" xfId="0" applyFont="1" applyFill="1" applyBorder="1" applyAlignment="1">
      <alignment horizontal="center" vertical="top"/>
    </xf>
    <xf numFmtId="0" fontId="2" fillId="7" borderId="0" xfId="0" applyFont="1" applyFill="1"/>
    <xf numFmtId="0" fontId="2" fillId="3" borderId="0" xfId="0" applyFont="1" applyFill="1"/>
    <xf numFmtId="0" fontId="10" fillId="7" borderId="1" xfId="0" applyFont="1" applyFill="1" applyBorder="1" applyAlignment="1">
      <alignment horizontal="center" vertical="top"/>
    </xf>
    <xf numFmtId="0" fontId="0" fillId="7" borderId="0" xfId="0" applyFont="1" applyFill="1"/>
  </cellXfs>
  <cellStyles count="1">
    <cellStyle name="Normal" xfId="0" builtinId="0"/>
  </cellStyles>
  <dxfs count="5"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3"/>
  <sheetViews>
    <sheetView workbookViewId="0">
      <selection activeCell="B339" sqref="B339"/>
    </sheetView>
  </sheetViews>
  <sheetFormatPr defaultRowHeight="15" x14ac:dyDescent="0.25"/>
  <cols>
    <col min="1" max="1" width="17" customWidth="1"/>
    <col min="2" max="2" width="59.28515625" customWidth="1"/>
    <col min="5" max="5" width="33.28515625" customWidth="1"/>
    <col min="8" max="8" width="2.85546875" customWidth="1"/>
    <col min="9" max="9" width="19.5703125" customWidth="1"/>
    <col min="10" max="10" width="22.42578125" customWidth="1"/>
    <col min="11" max="11" width="13.42578125" customWidth="1"/>
    <col min="12" max="12" width="15.7109375" customWidth="1"/>
    <col min="13" max="13" width="41" customWidth="1"/>
    <col min="14" max="14" width="1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t="s">
        <v>14</v>
      </c>
      <c r="C2" t="s">
        <v>15</v>
      </c>
      <c r="D2" t="s">
        <v>16</v>
      </c>
      <c r="E2" t="s">
        <v>17</v>
      </c>
      <c r="F2">
        <v>75.099999999999994</v>
      </c>
      <c r="G2" t="s">
        <v>18</v>
      </c>
      <c r="J2" t="s">
        <v>19</v>
      </c>
    </row>
    <row r="3" spans="1:13" x14ac:dyDescent="0.25">
      <c r="A3" s="1" t="s">
        <v>20</v>
      </c>
      <c r="B3" t="s">
        <v>21</v>
      </c>
      <c r="C3" t="s">
        <v>22</v>
      </c>
      <c r="D3" t="s">
        <v>23</v>
      </c>
      <c r="E3" t="s">
        <v>24</v>
      </c>
      <c r="F3">
        <v>58.09</v>
      </c>
      <c r="G3" t="s">
        <v>18</v>
      </c>
      <c r="J3" t="s">
        <v>25</v>
      </c>
    </row>
    <row r="4" spans="1:13" x14ac:dyDescent="0.25">
      <c r="A4" s="1" t="s">
        <v>26</v>
      </c>
      <c r="B4" t="s">
        <v>27</v>
      </c>
      <c r="C4" t="s">
        <v>28</v>
      </c>
      <c r="D4" t="s">
        <v>29</v>
      </c>
      <c r="E4" t="s">
        <v>30</v>
      </c>
      <c r="F4">
        <v>60.06</v>
      </c>
      <c r="G4" t="s">
        <v>18</v>
      </c>
      <c r="J4" t="s">
        <v>31</v>
      </c>
    </row>
    <row r="5" spans="1:13" x14ac:dyDescent="0.25">
      <c r="A5" s="1" t="s">
        <v>32</v>
      </c>
      <c r="B5" t="s">
        <v>33</v>
      </c>
      <c r="C5" t="s">
        <v>34</v>
      </c>
      <c r="D5" t="s">
        <v>35</v>
      </c>
      <c r="F5">
        <v>126.9</v>
      </c>
      <c r="G5" t="s">
        <v>36</v>
      </c>
      <c r="J5" t="s">
        <v>35</v>
      </c>
    </row>
    <row r="6" spans="1:13" x14ac:dyDescent="0.25">
      <c r="A6" s="1" t="s">
        <v>37</v>
      </c>
      <c r="B6" t="s">
        <v>38</v>
      </c>
      <c r="C6" t="s">
        <v>39</v>
      </c>
      <c r="D6" t="s">
        <v>40</v>
      </c>
      <c r="E6" t="s">
        <v>41</v>
      </c>
      <c r="F6">
        <v>44.06</v>
      </c>
      <c r="G6" t="s">
        <v>18</v>
      </c>
      <c r="J6" t="s">
        <v>39</v>
      </c>
    </row>
    <row r="7" spans="1:13" x14ac:dyDescent="0.25">
      <c r="A7" s="1" t="s">
        <v>42</v>
      </c>
      <c r="B7" t="s">
        <v>43</v>
      </c>
      <c r="D7" t="s">
        <v>44</v>
      </c>
      <c r="E7" t="s">
        <v>45</v>
      </c>
      <c r="F7">
        <v>58.12</v>
      </c>
      <c r="G7" t="s">
        <v>18</v>
      </c>
      <c r="J7" t="s">
        <v>46</v>
      </c>
    </row>
    <row r="8" spans="1:13" x14ac:dyDescent="0.25">
      <c r="A8" s="4" t="s">
        <v>47</v>
      </c>
      <c r="B8" t="s">
        <v>48</v>
      </c>
      <c r="C8" t="s">
        <v>49</v>
      </c>
      <c r="D8" t="s">
        <v>35</v>
      </c>
      <c r="F8">
        <v>189.12</v>
      </c>
      <c r="G8" t="s">
        <v>36</v>
      </c>
      <c r="J8" t="s">
        <v>35</v>
      </c>
    </row>
    <row r="9" spans="1:13" x14ac:dyDescent="0.25">
      <c r="A9" s="1" t="s">
        <v>50</v>
      </c>
      <c r="B9" t="s">
        <v>51</v>
      </c>
      <c r="C9" t="s">
        <v>52</v>
      </c>
      <c r="D9" t="s">
        <v>35</v>
      </c>
      <c r="E9" t="s">
        <v>53</v>
      </c>
      <c r="F9">
        <v>68.08</v>
      </c>
      <c r="G9" t="s">
        <v>18</v>
      </c>
      <c r="J9" t="s">
        <v>54</v>
      </c>
      <c r="M9" t="s">
        <v>55</v>
      </c>
    </row>
    <row r="10" spans="1:13" x14ac:dyDescent="0.25">
      <c r="A10" s="1" t="s">
        <v>56</v>
      </c>
      <c r="B10" t="s">
        <v>57</v>
      </c>
      <c r="C10" t="s">
        <v>58</v>
      </c>
      <c r="D10" t="s">
        <v>35</v>
      </c>
      <c r="E10" t="s">
        <v>59</v>
      </c>
      <c r="F10">
        <v>98.1</v>
      </c>
      <c r="G10" t="s">
        <v>18</v>
      </c>
      <c r="J10" t="s">
        <v>60</v>
      </c>
      <c r="M10" t="s">
        <v>61</v>
      </c>
    </row>
    <row r="11" spans="1:13" s="7" customFormat="1" x14ac:dyDescent="0.25">
      <c r="A11" s="4" t="s">
        <v>62</v>
      </c>
      <c r="B11" s="7" t="s">
        <v>63</v>
      </c>
      <c r="C11" s="7" t="s">
        <v>64</v>
      </c>
      <c r="D11" s="7" t="s">
        <v>35</v>
      </c>
      <c r="F11" s="7">
        <v>127</v>
      </c>
      <c r="G11" s="7" t="s">
        <v>18</v>
      </c>
      <c r="M11" s="7" t="s">
        <v>65</v>
      </c>
    </row>
    <row r="12" spans="1:13" s="7" customFormat="1" x14ac:dyDescent="0.25">
      <c r="A12" s="4" t="s">
        <v>66</v>
      </c>
      <c r="B12" s="7" t="s">
        <v>67</v>
      </c>
      <c r="D12" s="7" t="s">
        <v>35</v>
      </c>
      <c r="F12" s="7">
        <v>150</v>
      </c>
      <c r="G12" s="7" t="s">
        <v>36</v>
      </c>
      <c r="J12" s="7" t="s">
        <v>35</v>
      </c>
    </row>
    <row r="13" spans="1:13" s="7" customFormat="1" x14ac:dyDescent="0.25">
      <c r="A13" s="4" t="s">
        <v>68</v>
      </c>
      <c r="B13" s="7" t="s">
        <v>67</v>
      </c>
      <c r="D13" s="7" t="s">
        <v>35</v>
      </c>
      <c r="F13" s="7">
        <v>150</v>
      </c>
      <c r="G13" s="7" t="s">
        <v>36</v>
      </c>
      <c r="J13" s="7" t="s">
        <v>35</v>
      </c>
    </row>
    <row r="14" spans="1:13" s="7" customFormat="1" x14ac:dyDescent="0.25">
      <c r="A14" s="4" t="s">
        <v>69</v>
      </c>
      <c r="B14" s="7" t="s">
        <v>67</v>
      </c>
      <c r="D14" s="7" t="s">
        <v>35</v>
      </c>
      <c r="F14" s="7">
        <v>150</v>
      </c>
      <c r="G14" s="7" t="s">
        <v>36</v>
      </c>
      <c r="J14" s="7" t="s">
        <v>35</v>
      </c>
    </row>
    <row r="15" spans="1:13" s="7" customFormat="1" x14ac:dyDescent="0.25">
      <c r="A15" s="4" t="s">
        <v>70</v>
      </c>
      <c r="B15" s="7" t="s">
        <v>67</v>
      </c>
      <c r="D15" s="7" t="s">
        <v>35</v>
      </c>
      <c r="F15" s="7">
        <v>150</v>
      </c>
      <c r="G15" s="7" t="s">
        <v>36</v>
      </c>
      <c r="J15" s="7" t="s">
        <v>35</v>
      </c>
    </row>
    <row r="16" spans="1:13" s="7" customFormat="1" x14ac:dyDescent="0.25">
      <c r="A16" s="4" t="s">
        <v>71</v>
      </c>
      <c r="B16" s="7" t="s">
        <v>72</v>
      </c>
      <c r="D16" s="7" t="s">
        <v>35</v>
      </c>
      <c r="F16" s="7">
        <v>150</v>
      </c>
      <c r="G16" s="7" t="s">
        <v>18</v>
      </c>
      <c r="J16" s="7" t="s">
        <v>35</v>
      </c>
    </row>
    <row r="17" spans="1:13" s="7" customFormat="1" x14ac:dyDescent="0.25">
      <c r="A17" s="4" t="s">
        <v>73</v>
      </c>
      <c r="B17" s="7" t="s">
        <v>72</v>
      </c>
      <c r="D17" s="7" t="s">
        <v>35</v>
      </c>
      <c r="F17" s="7">
        <v>150</v>
      </c>
      <c r="G17" s="7" t="s">
        <v>18</v>
      </c>
      <c r="J17" s="7" t="s">
        <v>35</v>
      </c>
    </row>
    <row r="18" spans="1:13" s="7" customFormat="1" x14ac:dyDescent="0.25">
      <c r="A18" s="4" t="s">
        <v>74</v>
      </c>
      <c r="B18" s="7" t="s">
        <v>72</v>
      </c>
      <c r="D18" s="7" t="s">
        <v>35</v>
      </c>
      <c r="F18" s="7">
        <v>150</v>
      </c>
      <c r="G18" s="7" t="s">
        <v>18</v>
      </c>
      <c r="J18" s="7" t="s">
        <v>35</v>
      </c>
    </row>
    <row r="19" spans="1:13" x14ac:dyDescent="0.25">
      <c r="A19" s="1" t="s">
        <v>75</v>
      </c>
      <c r="B19" t="s">
        <v>76</v>
      </c>
      <c r="C19" t="s">
        <v>77</v>
      </c>
      <c r="D19" t="s">
        <v>78</v>
      </c>
      <c r="E19" t="s">
        <v>79</v>
      </c>
      <c r="F19">
        <v>89.08</v>
      </c>
      <c r="G19" t="s">
        <v>18</v>
      </c>
      <c r="J19" t="s">
        <v>80</v>
      </c>
    </row>
    <row r="20" spans="1:13" x14ac:dyDescent="0.25">
      <c r="A20" s="1" t="s">
        <v>81</v>
      </c>
      <c r="B20" t="s">
        <v>82</v>
      </c>
      <c r="C20" t="s">
        <v>83</v>
      </c>
      <c r="D20" t="s">
        <v>84</v>
      </c>
      <c r="E20" t="s">
        <v>85</v>
      </c>
      <c r="F20">
        <v>90.09</v>
      </c>
      <c r="G20" t="s">
        <v>18</v>
      </c>
      <c r="J20" t="s">
        <v>86</v>
      </c>
      <c r="K20" t="s">
        <v>87</v>
      </c>
      <c r="L20" t="s">
        <v>87</v>
      </c>
    </row>
    <row r="21" spans="1:13" s="6" customFormat="1" x14ac:dyDescent="0.25">
      <c r="A21" s="5" t="s">
        <v>88</v>
      </c>
      <c r="C21" s="6" t="s">
        <v>89</v>
      </c>
      <c r="D21" s="6" t="s">
        <v>35</v>
      </c>
      <c r="F21" s="6">
        <v>26.98</v>
      </c>
      <c r="G21" s="6" t="s">
        <v>36</v>
      </c>
      <c r="J21" s="6" t="s">
        <v>35</v>
      </c>
    </row>
    <row r="22" spans="1:13" s="6" customFormat="1" x14ac:dyDescent="0.25">
      <c r="A22" s="5" t="s">
        <v>90</v>
      </c>
      <c r="C22" s="6" t="s">
        <v>89</v>
      </c>
      <c r="D22" s="6" t="s">
        <v>35</v>
      </c>
      <c r="F22" s="6">
        <v>26.98</v>
      </c>
      <c r="G22" s="6" t="s">
        <v>36</v>
      </c>
      <c r="J22" s="6" t="s">
        <v>35</v>
      </c>
    </row>
    <row r="23" spans="1:13" s="6" customFormat="1" x14ac:dyDescent="0.25">
      <c r="A23" s="5" t="s">
        <v>91</v>
      </c>
      <c r="C23" s="6" t="s">
        <v>92</v>
      </c>
      <c r="D23" s="6" t="s">
        <v>35</v>
      </c>
      <c r="F23" s="6">
        <v>74.92</v>
      </c>
      <c r="G23" s="6" t="s">
        <v>36</v>
      </c>
      <c r="J23" s="6" t="s">
        <v>35</v>
      </c>
    </row>
    <row r="24" spans="1:13" s="6" customFormat="1" x14ac:dyDescent="0.25">
      <c r="A24" s="5" t="s">
        <v>93</v>
      </c>
      <c r="C24" s="6" t="s">
        <v>92</v>
      </c>
      <c r="D24" s="6" t="s">
        <v>35</v>
      </c>
      <c r="F24" s="6">
        <v>74.92</v>
      </c>
      <c r="G24" s="6" t="s">
        <v>36</v>
      </c>
      <c r="J24" s="6" t="s">
        <v>35</v>
      </c>
    </row>
    <row r="25" spans="1:13" x14ac:dyDescent="0.25">
      <c r="A25" s="1" t="s">
        <v>94</v>
      </c>
      <c r="B25" t="s">
        <v>94</v>
      </c>
      <c r="C25" t="s">
        <v>95</v>
      </c>
      <c r="D25" t="s">
        <v>96</v>
      </c>
      <c r="E25" t="s">
        <v>97</v>
      </c>
      <c r="F25">
        <v>75.099999999999994</v>
      </c>
      <c r="G25" t="s">
        <v>18</v>
      </c>
      <c r="J25" t="s">
        <v>98</v>
      </c>
    </row>
    <row r="26" spans="1:13" x14ac:dyDescent="0.25">
      <c r="A26" s="1" t="s">
        <v>99</v>
      </c>
      <c r="B26" t="s">
        <v>100</v>
      </c>
      <c r="C26" t="s">
        <v>101</v>
      </c>
      <c r="D26" t="s">
        <v>102</v>
      </c>
      <c r="E26" t="s">
        <v>103</v>
      </c>
      <c r="F26">
        <v>106.12</v>
      </c>
      <c r="G26" t="s">
        <v>18</v>
      </c>
      <c r="J26" t="s">
        <v>104</v>
      </c>
      <c r="M26" t="s">
        <v>104</v>
      </c>
    </row>
    <row r="27" spans="1:13" s="6" customFormat="1" x14ac:dyDescent="0.25">
      <c r="A27" s="5" t="s">
        <v>105</v>
      </c>
      <c r="B27" s="6" t="s">
        <v>106</v>
      </c>
      <c r="C27" s="6" t="s">
        <v>107</v>
      </c>
      <c r="D27" s="6" t="s">
        <v>35</v>
      </c>
      <c r="F27" s="6">
        <v>12.01</v>
      </c>
      <c r="G27" s="6" t="s">
        <v>36</v>
      </c>
      <c r="J27" s="6" t="s">
        <v>35</v>
      </c>
    </row>
    <row r="28" spans="1:13" s="6" customFormat="1" x14ac:dyDescent="0.25">
      <c r="A28" s="5" t="s">
        <v>108</v>
      </c>
      <c r="B28" s="6" t="s">
        <v>109</v>
      </c>
      <c r="C28" s="6" t="s">
        <v>107</v>
      </c>
      <c r="D28" s="6" t="s">
        <v>35</v>
      </c>
      <c r="F28" s="6">
        <v>12.01</v>
      </c>
      <c r="G28" s="6" t="s">
        <v>36</v>
      </c>
      <c r="J28" s="6" t="s">
        <v>35</v>
      </c>
    </row>
    <row r="29" spans="1:13" x14ac:dyDescent="0.25">
      <c r="A29" s="1" t="s">
        <v>110</v>
      </c>
      <c r="B29" t="s">
        <v>111</v>
      </c>
      <c r="C29" t="s">
        <v>112</v>
      </c>
      <c r="D29" t="s">
        <v>113</v>
      </c>
      <c r="E29" t="s">
        <v>114</v>
      </c>
      <c r="F29">
        <v>78.12</v>
      </c>
      <c r="G29" t="s">
        <v>18</v>
      </c>
      <c r="J29" t="s">
        <v>115</v>
      </c>
    </row>
    <row r="30" spans="1:13" x14ac:dyDescent="0.25">
      <c r="A30" s="1" t="s">
        <v>116</v>
      </c>
      <c r="B30" t="s">
        <v>117</v>
      </c>
      <c r="C30" t="s">
        <v>118</v>
      </c>
      <c r="D30" t="s">
        <v>119</v>
      </c>
      <c r="E30" t="s">
        <v>120</v>
      </c>
      <c r="F30">
        <v>93</v>
      </c>
      <c r="G30" t="s">
        <v>18</v>
      </c>
      <c r="J30" t="s">
        <v>118</v>
      </c>
      <c r="M30" t="s">
        <v>118</v>
      </c>
    </row>
    <row r="31" spans="1:13" x14ac:dyDescent="0.25">
      <c r="A31" s="1" t="s">
        <v>121</v>
      </c>
      <c r="B31" t="s">
        <v>122</v>
      </c>
      <c r="C31" t="s">
        <v>123</v>
      </c>
      <c r="D31" t="s">
        <v>124</v>
      </c>
      <c r="E31" t="s">
        <v>125</v>
      </c>
      <c r="F31">
        <v>109</v>
      </c>
      <c r="G31" t="s">
        <v>18</v>
      </c>
      <c r="J31" t="s">
        <v>123</v>
      </c>
      <c r="M31" t="s">
        <v>126</v>
      </c>
    </row>
    <row r="32" spans="1:13" x14ac:dyDescent="0.25">
      <c r="A32" s="1" t="s">
        <v>127</v>
      </c>
      <c r="B32" t="s">
        <v>128</v>
      </c>
      <c r="C32" t="s">
        <v>129</v>
      </c>
      <c r="D32" t="s">
        <v>130</v>
      </c>
      <c r="E32" t="s">
        <v>131</v>
      </c>
      <c r="F32">
        <v>110.11</v>
      </c>
      <c r="G32" t="s">
        <v>18</v>
      </c>
      <c r="J32" t="s">
        <v>132</v>
      </c>
      <c r="M32" t="s">
        <v>133</v>
      </c>
    </row>
    <row r="33" spans="1:13" x14ac:dyDescent="0.25">
      <c r="A33" s="1" t="s">
        <v>134</v>
      </c>
      <c r="B33" t="s">
        <v>135</v>
      </c>
      <c r="C33" t="s">
        <v>136</v>
      </c>
      <c r="D33" t="s">
        <v>137</v>
      </c>
      <c r="E33" t="s">
        <v>138</v>
      </c>
      <c r="F33">
        <v>159.13</v>
      </c>
      <c r="G33" t="s">
        <v>18</v>
      </c>
      <c r="J33" t="s">
        <v>139</v>
      </c>
      <c r="M33" t="s">
        <v>140</v>
      </c>
    </row>
    <row r="34" spans="1:13" x14ac:dyDescent="0.25">
      <c r="A34" s="1" t="s">
        <v>141</v>
      </c>
      <c r="B34" t="s">
        <v>142</v>
      </c>
      <c r="C34" t="s">
        <v>143</v>
      </c>
      <c r="D34" t="s">
        <v>144</v>
      </c>
      <c r="E34" t="s">
        <v>145</v>
      </c>
      <c r="F34">
        <v>137</v>
      </c>
      <c r="G34" t="s">
        <v>18</v>
      </c>
      <c r="J34" t="s">
        <v>146</v>
      </c>
      <c r="M34" t="s">
        <v>146</v>
      </c>
    </row>
    <row r="35" spans="1:13" x14ac:dyDescent="0.25">
      <c r="A35" s="1" t="s">
        <v>147</v>
      </c>
      <c r="B35" t="s">
        <v>148</v>
      </c>
      <c r="C35" t="s">
        <v>149</v>
      </c>
      <c r="D35" t="s">
        <v>150</v>
      </c>
      <c r="E35" t="s">
        <v>151</v>
      </c>
      <c r="F35">
        <v>138.12</v>
      </c>
      <c r="G35" t="s">
        <v>18</v>
      </c>
      <c r="J35" t="s">
        <v>149</v>
      </c>
    </row>
    <row r="36" spans="1:13" x14ac:dyDescent="0.25">
      <c r="A36" s="1" t="s">
        <v>152</v>
      </c>
      <c r="B36" t="s">
        <v>153</v>
      </c>
      <c r="C36" t="s">
        <v>154</v>
      </c>
      <c r="D36" t="s">
        <v>155</v>
      </c>
      <c r="E36" t="s">
        <v>156</v>
      </c>
      <c r="F36">
        <v>183.12</v>
      </c>
      <c r="G36" t="s">
        <v>18</v>
      </c>
    </row>
    <row r="37" spans="1:13" s="6" customFormat="1" x14ac:dyDescent="0.25">
      <c r="A37" s="5" t="s">
        <v>157</v>
      </c>
      <c r="B37" s="6" t="s">
        <v>158</v>
      </c>
      <c r="C37" s="6" t="s">
        <v>157</v>
      </c>
      <c r="D37" s="6" t="s">
        <v>35</v>
      </c>
      <c r="F37" s="6">
        <v>10</v>
      </c>
      <c r="G37" s="6" t="s">
        <v>36</v>
      </c>
      <c r="J37" s="6" t="s">
        <v>35</v>
      </c>
    </row>
    <row r="38" spans="1:13" s="6" customFormat="1" x14ac:dyDescent="0.25">
      <c r="A38" s="5" t="s">
        <v>159</v>
      </c>
      <c r="B38" s="6" t="s">
        <v>160</v>
      </c>
      <c r="C38" s="6" t="s">
        <v>157</v>
      </c>
      <c r="D38" s="6" t="s">
        <v>35</v>
      </c>
      <c r="F38" s="6">
        <v>10</v>
      </c>
      <c r="G38" s="6" t="s">
        <v>36</v>
      </c>
      <c r="J38" s="6" t="s">
        <v>35</v>
      </c>
    </row>
    <row r="39" spans="1:13" s="6" customFormat="1" x14ac:dyDescent="0.25">
      <c r="A39" s="5" t="s">
        <v>161</v>
      </c>
      <c r="B39" s="6" t="s">
        <v>162</v>
      </c>
      <c r="C39" s="6" t="s">
        <v>161</v>
      </c>
      <c r="D39" s="6" t="s">
        <v>35</v>
      </c>
      <c r="F39" s="6">
        <v>7</v>
      </c>
      <c r="G39" s="6" t="s">
        <v>36</v>
      </c>
      <c r="J39" s="6" t="s">
        <v>35</v>
      </c>
    </row>
    <row r="40" spans="1:13" s="6" customFormat="1" x14ac:dyDescent="0.25">
      <c r="A40" s="5" t="s">
        <v>163</v>
      </c>
      <c r="B40" s="6" t="s">
        <v>164</v>
      </c>
      <c r="C40" s="6" t="s">
        <v>161</v>
      </c>
      <c r="D40" s="6" t="s">
        <v>35</v>
      </c>
      <c r="F40" s="6">
        <v>7</v>
      </c>
      <c r="G40" s="6" t="s">
        <v>36</v>
      </c>
      <c r="J40" s="6" t="s">
        <v>35</v>
      </c>
    </row>
    <row r="41" spans="1:13" x14ac:dyDescent="0.25">
      <c r="A41" s="1" t="s">
        <v>165</v>
      </c>
      <c r="B41" t="s">
        <v>166</v>
      </c>
      <c r="C41" t="s">
        <v>165</v>
      </c>
      <c r="D41" t="s">
        <v>167</v>
      </c>
      <c r="E41" t="s">
        <v>168</v>
      </c>
      <c r="F41">
        <v>79.900000000000006</v>
      </c>
      <c r="G41" t="s">
        <v>18</v>
      </c>
    </row>
    <row r="42" spans="1:13" x14ac:dyDescent="0.25">
      <c r="A42" s="1" t="s">
        <v>169</v>
      </c>
      <c r="B42" t="s">
        <v>170</v>
      </c>
      <c r="C42" t="s">
        <v>169</v>
      </c>
      <c r="D42" t="s">
        <v>171</v>
      </c>
      <c r="E42" t="s">
        <v>172</v>
      </c>
      <c r="F42">
        <v>159.80000000000001</v>
      </c>
      <c r="G42" t="s">
        <v>18</v>
      </c>
    </row>
    <row r="43" spans="1:13" x14ac:dyDescent="0.25">
      <c r="A43" s="1" t="s">
        <v>173</v>
      </c>
      <c r="B43" t="s">
        <v>174</v>
      </c>
      <c r="C43" t="s">
        <v>173</v>
      </c>
      <c r="D43" t="s">
        <v>175</v>
      </c>
      <c r="E43" t="s">
        <v>176</v>
      </c>
      <c r="F43">
        <v>115.45</v>
      </c>
      <c r="G43" t="s">
        <v>18</v>
      </c>
    </row>
    <row r="44" spans="1:13" x14ac:dyDescent="0.25">
      <c r="A44" s="1" t="s">
        <v>177</v>
      </c>
      <c r="B44" t="s">
        <v>178</v>
      </c>
      <c r="C44" t="s">
        <v>177</v>
      </c>
      <c r="D44" t="s">
        <v>179</v>
      </c>
      <c r="E44" t="s">
        <v>180</v>
      </c>
      <c r="F44">
        <v>125.91</v>
      </c>
      <c r="G44" t="s">
        <v>18</v>
      </c>
    </row>
    <row r="45" spans="1:13" x14ac:dyDescent="0.25">
      <c r="A45" s="1" t="s">
        <v>181</v>
      </c>
      <c r="B45" t="s">
        <v>182</v>
      </c>
      <c r="C45" t="s">
        <v>181</v>
      </c>
      <c r="D45" t="s">
        <v>183</v>
      </c>
      <c r="E45" t="s">
        <v>184</v>
      </c>
      <c r="F45">
        <v>141.91</v>
      </c>
      <c r="G45" t="s">
        <v>18</v>
      </c>
    </row>
    <row r="46" spans="1:13" x14ac:dyDescent="0.25">
      <c r="A46" s="1" t="s">
        <v>185</v>
      </c>
      <c r="B46" t="s">
        <v>186</v>
      </c>
      <c r="C46" t="s">
        <v>185</v>
      </c>
      <c r="D46" t="s">
        <v>187</v>
      </c>
      <c r="E46" t="s">
        <v>188</v>
      </c>
      <c r="F46">
        <v>95.9</v>
      </c>
      <c r="G46" t="s">
        <v>18</v>
      </c>
    </row>
    <row r="47" spans="1:13" s="9" customFormat="1" x14ac:dyDescent="0.25">
      <c r="A47" s="8" t="s">
        <v>189</v>
      </c>
      <c r="B47" s="9" t="s">
        <v>190</v>
      </c>
      <c r="C47" s="9" t="s">
        <v>165</v>
      </c>
      <c r="D47" s="9" t="s">
        <v>35</v>
      </c>
      <c r="F47" s="9">
        <v>79.900000000000006</v>
      </c>
      <c r="G47" s="9" t="s">
        <v>36</v>
      </c>
      <c r="J47" s="9" t="s">
        <v>35</v>
      </c>
    </row>
    <row r="48" spans="1:13" s="9" customFormat="1" x14ac:dyDescent="0.25">
      <c r="A48" s="8" t="s">
        <v>191</v>
      </c>
      <c r="B48" s="9" t="s">
        <v>192</v>
      </c>
      <c r="C48" s="9" t="s">
        <v>165</v>
      </c>
      <c r="D48" s="9" t="s">
        <v>35</v>
      </c>
      <c r="F48" s="9">
        <v>79.900000000000006</v>
      </c>
      <c r="G48" s="9" t="s">
        <v>36</v>
      </c>
      <c r="J48" s="9" t="s">
        <v>35</v>
      </c>
    </row>
    <row r="49" spans="1:13" x14ac:dyDescent="0.25">
      <c r="A49" s="1" t="s">
        <v>107</v>
      </c>
      <c r="B49" t="s">
        <v>193</v>
      </c>
      <c r="C49" t="s">
        <v>107</v>
      </c>
      <c r="D49" t="s">
        <v>194</v>
      </c>
      <c r="E49" t="s">
        <v>195</v>
      </c>
      <c r="F49">
        <v>12.01</v>
      </c>
      <c r="G49" t="s">
        <v>36</v>
      </c>
      <c r="J49" t="s">
        <v>35</v>
      </c>
    </row>
    <row r="50" spans="1:13" x14ac:dyDescent="0.25">
      <c r="A50" s="1" t="s">
        <v>196</v>
      </c>
      <c r="B50" t="s">
        <v>197</v>
      </c>
      <c r="C50" t="s">
        <v>196</v>
      </c>
      <c r="D50" t="s">
        <v>198</v>
      </c>
      <c r="E50" t="s">
        <v>199</v>
      </c>
      <c r="F50">
        <v>26.05</v>
      </c>
      <c r="G50" t="s">
        <v>18</v>
      </c>
      <c r="J50" t="s">
        <v>196</v>
      </c>
    </row>
    <row r="51" spans="1:13" x14ac:dyDescent="0.25">
      <c r="A51" s="1" t="s">
        <v>200</v>
      </c>
      <c r="B51" t="s">
        <v>201</v>
      </c>
      <c r="C51" t="s">
        <v>200</v>
      </c>
      <c r="D51" t="s">
        <v>202</v>
      </c>
      <c r="E51" t="s">
        <v>203</v>
      </c>
      <c r="F51">
        <v>28.05</v>
      </c>
      <c r="G51" t="s">
        <v>18</v>
      </c>
      <c r="J51" t="s">
        <v>200</v>
      </c>
    </row>
    <row r="52" spans="1:13" x14ac:dyDescent="0.25">
      <c r="A52" s="1" t="s">
        <v>204</v>
      </c>
      <c r="B52" t="s">
        <v>205</v>
      </c>
      <c r="C52" t="s">
        <v>204</v>
      </c>
      <c r="D52" t="s">
        <v>206</v>
      </c>
      <c r="E52" t="s">
        <v>207</v>
      </c>
      <c r="F52">
        <v>30.08</v>
      </c>
      <c r="G52" t="s">
        <v>18</v>
      </c>
      <c r="J52" t="s">
        <v>204</v>
      </c>
    </row>
    <row r="53" spans="1:13" x14ac:dyDescent="0.25">
      <c r="A53" s="1" t="s">
        <v>208</v>
      </c>
      <c r="B53" t="s">
        <v>209</v>
      </c>
      <c r="C53" t="s">
        <v>208</v>
      </c>
      <c r="D53" t="s">
        <v>210</v>
      </c>
      <c r="E53" t="s">
        <v>211</v>
      </c>
      <c r="F53">
        <v>44.11</v>
      </c>
      <c r="G53" t="s">
        <v>18</v>
      </c>
      <c r="J53" t="s">
        <v>208</v>
      </c>
    </row>
    <row r="54" spans="1:13" x14ac:dyDescent="0.25">
      <c r="A54" s="1" t="s">
        <v>212</v>
      </c>
      <c r="B54" t="s">
        <v>213</v>
      </c>
      <c r="C54" t="s">
        <v>214</v>
      </c>
      <c r="D54" t="s">
        <v>35</v>
      </c>
      <c r="E54" t="s">
        <v>215</v>
      </c>
      <c r="F54">
        <v>103.11</v>
      </c>
      <c r="G54" t="s">
        <v>18</v>
      </c>
      <c r="J54" t="s">
        <v>35</v>
      </c>
      <c r="K54" t="s">
        <v>212</v>
      </c>
      <c r="L54" t="s">
        <v>212</v>
      </c>
    </row>
    <row r="55" spans="1:13" x14ac:dyDescent="0.25">
      <c r="A55" s="1" t="s">
        <v>216</v>
      </c>
      <c r="B55" t="s">
        <v>217</v>
      </c>
      <c r="C55" t="s">
        <v>214</v>
      </c>
      <c r="D55" t="s">
        <v>35</v>
      </c>
      <c r="E55" t="s">
        <v>218</v>
      </c>
      <c r="F55">
        <v>103.11</v>
      </c>
      <c r="G55" t="s">
        <v>18</v>
      </c>
      <c r="J55" t="s">
        <v>35</v>
      </c>
      <c r="K55" t="s">
        <v>216</v>
      </c>
      <c r="L55" t="s">
        <v>216</v>
      </c>
    </row>
    <row r="56" spans="1:13" x14ac:dyDescent="0.25">
      <c r="A56" s="1" t="s">
        <v>219</v>
      </c>
      <c r="B56" t="s">
        <v>220</v>
      </c>
      <c r="C56" t="s">
        <v>219</v>
      </c>
      <c r="D56" t="s">
        <v>221</v>
      </c>
      <c r="E56" t="s">
        <v>222</v>
      </c>
      <c r="F56">
        <v>153.82</v>
      </c>
      <c r="G56" t="s">
        <v>18</v>
      </c>
    </row>
    <row r="57" spans="1:13" x14ac:dyDescent="0.25">
      <c r="A57" s="1" t="s">
        <v>223</v>
      </c>
      <c r="B57" t="s">
        <v>224</v>
      </c>
      <c r="C57" t="s">
        <v>225</v>
      </c>
      <c r="D57" t="s">
        <v>226</v>
      </c>
      <c r="E57" t="s">
        <v>227</v>
      </c>
      <c r="F57">
        <v>137.37</v>
      </c>
      <c r="G57" t="s">
        <v>18</v>
      </c>
      <c r="J57" t="s">
        <v>35</v>
      </c>
    </row>
    <row r="58" spans="1:13" x14ac:dyDescent="0.25">
      <c r="A58" s="1" t="s">
        <v>228</v>
      </c>
      <c r="B58" t="s">
        <v>229</v>
      </c>
      <c r="C58" t="s">
        <v>230</v>
      </c>
      <c r="D58" t="s">
        <v>231</v>
      </c>
      <c r="E58" t="s">
        <v>232</v>
      </c>
      <c r="F58">
        <v>187.38</v>
      </c>
      <c r="G58" t="s">
        <v>18</v>
      </c>
      <c r="J58" t="s">
        <v>35</v>
      </c>
    </row>
    <row r="59" spans="1:13" x14ac:dyDescent="0.25">
      <c r="A59" s="1" t="s">
        <v>233</v>
      </c>
      <c r="B59" t="s">
        <v>234</v>
      </c>
      <c r="C59" t="s">
        <v>235</v>
      </c>
      <c r="D59" t="s">
        <v>236</v>
      </c>
      <c r="E59" t="s">
        <v>237</v>
      </c>
      <c r="F59">
        <v>170.92</v>
      </c>
      <c r="G59" t="s">
        <v>18</v>
      </c>
      <c r="J59" t="s">
        <v>35</v>
      </c>
    </row>
    <row r="60" spans="1:13" x14ac:dyDescent="0.25">
      <c r="A60" s="1" t="s">
        <v>238</v>
      </c>
      <c r="B60" t="s">
        <v>239</v>
      </c>
      <c r="C60" t="s">
        <v>240</v>
      </c>
      <c r="D60" t="s">
        <v>241</v>
      </c>
      <c r="E60" t="s">
        <v>242</v>
      </c>
      <c r="F60">
        <v>154.47</v>
      </c>
      <c r="G60" t="s">
        <v>18</v>
      </c>
      <c r="J60" t="s">
        <v>35</v>
      </c>
    </row>
    <row r="61" spans="1:13" x14ac:dyDescent="0.25">
      <c r="A61" s="1" t="s">
        <v>243</v>
      </c>
      <c r="B61" t="s">
        <v>244</v>
      </c>
      <c r="C61" t="s">
        <v>245</v>
      </c>
      <c r="D61" t="s">
        <v>246</v>
      </c>
      <c r="E61" t="s">
        <v>247</v>
      </c>
      <c r="F61">
        <v>120.91</v>
      </c>
      <c r="G61" t="s">
        <v>18</v>
      </c>
      <c r="J61" t="s">
        <v>35</v>
      </c>
    </row>
    <row r="62" spans="1:13" x14ac:dyDescent="0.25">
      <c r="A62" s="1" t="s">
        <v>248</v>
      </c>
      <c r="B62" t="s">
        <v>249</v>
      </c>
      <c r="C62" t="s">
        <v>248</v>
      </c>
      <c r="D62" t="s">
        <v>35</v>
      </c>
      <c r="E62" t="s">
        <v>250</v>
      </c>
      <c r="F62">
        <v>173.83</v>
      </c>
      <c r="G62" t="s">
        <v>18</v>
      </c>
    </row>
    <row r="63" spans="1:13" x14ac:dyDescent="0.25">
      <c r="A63" s="1" t="s">
        <v>251</v>
      </c>
      <c r="B63" t="s">
        <v>252</v>
      </c>
      <c r="C63" t="s">
        <v>251</v>
      </c>
      <c r="D63" t="s">
        <v>253</v>
      </c>
      <c r="E63" t="s">
        <v>254</v>
      </c>
      <c r="F63">
        <v>84.93</v>
      </c>
      <c r="G63" t="s">
        <v>18</v>
      </c>
      <c r="J63" t="s">
        <v>255</v>
      </c>
      <c r="M63" t="s">
        <v>255</v>
      </c>
    </row>
    <row r="64" spans="1:13" x14ac:dyDescent="0.25">
      <c r="A64" s="1" t="s">
        <v>256</v>
      </c>
      <c r="B64" t="s">
        <v>257</v>
      </c>
      <c r="C64" t="s">
        <v>256</v>
      </c>
      <c r="D64" t="s">
        <v>258</v>
      </c>
      <c r="E64" t="s">
        <v>259</v>
      </c>
      <c r="F64">
        <v>267.83999999999997</v>
      </c>
      <c r="G64" t="s">
        <v>18</v>
      </c>
    </row>
    <row r="65" spans="1:13" x14ac:dyDescent="0.25">
      <c r="A65" s="1" t="s">
        <v>260</v>
      </c>
      <c r="B65" t="s">
        <v>261</v>
      </c>
      <c r="C65" t="s">
        <v>260</v>
      </c>
      <c r="D65" t="s">
        <v>262</v>
      </c>
      <c r="E65" t="s">
        <v>263</v>
      </c>
      <c r="F65">
        <v>220.84</v>
      </c>
      <c r="G65" t="s">
        <v>18</v>
      </c>
    </row>
    <row r="66" spans="1:13" x14ac:dyDescent="0.25">
      <c r="A66" s="1" t="s">
        <v>264</v>
      </c>
      <c r="B66" t="s">
        <v>265</v>
      </c>
      <c r="C66" t="s">
        <v>264</v>
      </c>
      <c r="D66" t="s">
        <v>266</v>
      </c>
      <c r="E66" t="s">
        <v>267</v>
      </c>
      <c r="F66">
        <v>176.38</v>
      </c>
      <c r="G66" t="s">
        <v>18</v>
      </c>
    </row>
    <row r="67" spans="1:13" x14ac:dyDescent="0.25">
      <c r="A67" s="1" t="s">
        <v>268</v>
      </c>
      <c r="B67" t="s">
        <v>269</v>
      </c>
      <c r="C67" t="s">
        <v>268</v>
      </c>
      <c r="D67" t="s">
        <v>270</v>
      </c>
      <c r="E67" t="s">
        <v>271</v>
      </c>
      <c r="F67">
        <v>30.03</v>
      </c>
      <c r="G67" t="s">
        <v>18</v>
      </c>
      <c r="J67" t="s">
        <v>272</v>
      </c>
      <c r="K67" t="s">
        <v>272</v>
      </c>
      <c r="L67" t="s">
        <v>268</v>
      </c>
    </row>
    <row r="68" spans="1:13" x14ac:dyDescent="0.25">
      <c r="A68" s="1" t="s">
        <v>273</v>
      </c>
      <c r="B68" t="s">
        <v>274</v>
      </c>
      <c r="C68" t="s">
        <v>275</v>
      </c>
      <c r="D68" t="s">
        <v>276</v>
      </c>
      <c r="E68" t="s">
        <v>277</v>
      </c>
      <c r="F68">
        <v>46.03</v>
      </c>
      <c r="G68" t="s">
        <v>18</v>
      </c>
      <c r="J68" t="s">
        <v>278</v>
      </c>
    </row>
    <row r="69" spans="1:13" x14ac:dyDescent="0.25">
      <c r="A69" s="1" t="s">
        <v>279</v>
      </c>
      <c r="B69" t="s">
        <v>280</v>
      </c>
      <c r="C69" t="s">
        <v>279</v>
      </c>
      <c r="D69" t="s">
        <v>281</v>
      </c>
      <c r="E69" t="s">
        <v>282</v>
      </c>
      <c r="F69">
        <v>94.94</v>
      </c>
      <c r="G69" t="s">
        <v>18</v>
      </c>
      <c r="J69" t="s">
        <v>283</v>
      </c>
      <c r="M69" t="s">
        <v>283</v>
      </c>
    </row>
    <row r="70" spans="1:13" x14ac:dyDescent="0.25">
      <c r="A70" s="1" t="s">
        <v>284</v>
      </c>
      <c r="B70" t="s">
        <v>285</v>
      </c>
      <c r="C70" t="s">
        <v>284</v>
      </c>
      <c r="D70" t="s">
        <v>286</v>
      </c>
      <c r="E70" t="s">
        <v>287</v>
      </c>
      <c r="F70">
        <v>133.35</v>
      </c>
      <c r="G70" t="s">
        <v>18</v>
      </c>
      <c r="J70" t="s">
        <v>288</v>
      </c>
    </row>
    <row r="71" spans="1:13" x14ac:dyDescent="0.25">
      <c r="A71" s="1" t="s">
        <v>289</v>
      </c>
      <c r="B71" t="s">
        <v>274</v>
      </c>
      <c r="C71" t="s">
        <v>290</v>
      </c>
      <c r="D71" t="s">
        <v>291</v>
      </c>
      <c r="E71" t="s">
        <v>292</v>
      </c>
      <c r="F71">
        <v>60.06</v>
      </c>
      <c r="G71" t="s">
        <v>18</v>
      </c>
      <c r="J71" t="s">
        <v>293</v>
      </c>
    </row>
    <row r="72" spans="1:13" x14ac:dyDescent="0.25">
      <c r="A72" s="1" t="s">
        <v>294</v>
      </c>
      <c r="B72" t="s">
        <v>295</v>
      </c>
      <c r="C72" t="s">
        <v>294</v>
      </c>
      <c r="D72" t="s">
        <v>296</v>
      </c>
      <c r="E72" t="s">
        <v>297</v>
      </c>
      <c r="F72">
        <v>50.45</v>
      </c>
      <c r="G72" t="s">
        <v>18</v>
      </c>
      <c r="J72" t="s">
        <v>298</v>
      </c>
      <c r="M72" t="s">
        <v>298</v>
      </c>
    </row>
    <row r="73" spans="1:13" x14ac:dyDescent="0.25">
      <c r="A73" s="1" t="s">
        <v>299</v>
      </c>
      <c r="B73" t="s">
        <v>300</v>
      </c>
      <c r="C73" t="s">
        <v>299</v>
      </c>
      <c r="D73" t="s">
        <v>301</v>
      </c>
      <c r="E73" t="s">
        <v>302</v>
      </c>
      <c r="F73">
        <v>141.94</v>
      </c>
      <c r="G73" t="s">
        <v>18</v>
      </c>
    </row>
    <row r="74" spans="1:13" x14ac:dyDescent="0.25">
      <c r="A74" s="1" t="s">
        <v>303</v>
      </c>
      <c r="B74" t="s">
        <v>300</v>
      </c>
      <c r="C74" t="s">
        <v>299</v>
      </c>
      <c r="D74" t="s">
        <v>301</v>
      </c>
      <c r="E74" t="s">
        <v>302</v>
      </c>
      <c r="F74">
        <v>141.94</v>
      </c>
      <c r="G74" t="s">
        <v>18</v>
      </c>
      <c r="H74" t="s">
        <v>304</v>
      </c>
    </row>
    <row r="75" spans="1:13" x14ac:dyDescent="0.25">
      <c r="A75" s="1" t="s">
        <v>305</v>
      </c>
      <c r="B75" t="s">
        <v>306</v>
      </c>
      <c r="C75" t="s">
        <v>305</v>
      </c>
      <c r="D75" t="s">
        <v>107</v>
      </c>
      <c r="E75" t="s">
        <v>307</v>
      </c>
      <c r="F75">
        <v>16.05</v>
      </c>
      <c r="G75" t="s">
        <v>18</v>
      </c>
      <c r="J75" t="s">
        <v>305</v>
      </c>
    </row>
    <row r="76" spans="1:13" x14ac:dyDescent="0.25">
      <c r="A76" s="1" t="s">
        <v>308</v>
      </c>
      <c r="B76" t="s">
        <v>309</v>
      </c>
      <c r="C76" t="s">
        <v>305</v>
      </c>
      <c r="D76" t="s">
        <v>107</v>
      </c>
      <c r="E76" t="s">
        <v>307</v>
      </c>
      <c r="F76">
        <v>16.05</v>
      </c>
      <c r="G76" t="s">
        <v>18</v>
      </c>
      <c r="J76" t="s">
        <v>35</v>
      </c>
      <c r="M76" t="s">
        <v>305</v>
      </c>
    </row>
    <row r="77" spans="1:13" x14ac:dyDescent="0.25">
      <c r="A77" s="1" t="s">
        <v>310</v>
      </c>
      <c r="B77" t="s">
        <v>311</v>
      </c>
      <c r="C77" t="s">
        <v>305</v>
      </c>
      <c r="D77" t="s">
        <v>107</v>
      </c>
      <c r="E77" t="s">
        <v>307</v>
      </c>
      <c r="F77">
        <v>16.05</v>
      </c>
      <c r="G77" t="s">
        <v>18</v>
      </c>
      <c r="J77" t="s">
        <v>35</v>
      </c>
      <c r="M77" t="s">
        <v>305</v>
      </c>
    </row>
    <row r="78" spans="1:13" x14ac:dyDescent="0.25">
      <c r="A78" s="1" t="s">
        <v>312</v>
      </c>
      <c r="B78" t="s">
        <v>313</v>
      </c>
      <c r="C78" t="s">
        <v>305</v>
      </c>
      <c r="D78" t="s">
        <v>107</v>
      </c>
      <c r="E78" t="s">
        <v>307</v>
      </c>
      <c r="F78">
        <v>16.05</v>
      </c>
      <c r="G78" t="s">
        <v>18</v>
      </c>
      <c r="J78" t="s">
        <v>35</v>
      </c>
      <c r="M78" t="s">
        <v>305</v>
      </c>
    </row>
    <row r="79" spans="1:13" x14ac:dyDescent="0.25">
      <c r="A79" s="1" t="s">
        <v>314</v>
      </c>
      <c r="B79" t="s">
        <v>315</v>
      </c>
      <c r="C79" t="s">
        <v>305</v>
      </c>
      <c r="D79" t="s">
        <v>107</v>
      </c>
      <c r="E79" t="s">
        <v>307</v>
      </c>
      <c r="F79">
        <v>16.05</v>
      </c>
      <c r="G79" t="s">
        <v>18</v>
      </c>
      <c r="J79" t="s">
        <v>35</v>
      </c>
      <c r="M79" t="s">
        <v>305</v>
      </c>
    </row>
    <row r="80" spans="1:13" x14ac:dyDescent="0.25">
      <c r="A80" s="1" t="s">
        <v>316</v>
      </c>
      <c r="B80" t="s">
        <v>317</v>
      </c>
      <c r="C80" t="s">
        <v>305</v>
      </c>
      <c r="D80" t="s">
        <v>107</v>
      </c>
      <c r="E80" t="s">
        <v>307</v>
      </c>
      <c r="F80">
        <v>16.05</v>
      </c>
      <c r="G80" t="s">
        <v>18</v>
      </c>
      <c r="J80" t="s">
        <v>35</v>
      </c>
      <c r="M80" t="s">
        <v>305</v>
      </c>
    </row>
    <row r="81" spans="1:13" x14ac:dyDescent="0.25">
      <c r="A81" s="1" t="s">
        <v>318</v>
      </c>
      <c r="B81" t="s">
        <v>319</v>
      </c>
      <c r="C81" t="s">
        <v>305</v>
      </c>
      <c r="D81" t="s">
        <v>107</v>
      </c>
      <c r="E81" t="s">
        <v>307</v>
      </c>
      <c r="F81">
        <v>16.05</v>
      </c>
      <c r="G81" t="s">
        <v>18</v>
      </c>
      <c r="J81" t="s">
        <v>35</v>
      </c>
      <c r="M81" t="s">
        <v>305</v>
      </c>
    </row>
    <row r="82" spans="1:13" x14ac:dyDescent="0.25">
      <c r="A82" s="1" t="s">
        <v>320</v>
      </c>
      <c r="B82" t="s">
        <v>321</v>
      </c>
      <c r="C82" t="s">
        <v>305</v>
      </c>
      <c r="D82" t="s">
        <v>107</v>
      </c>
      <c r="E82" t="s">
        <v>307</v>
      </c>
      <c r="F82">
        <v>16.05</v>
      </c>
      <c r="G82" t="s">
        <v>18</v>
      </c>
      <c r="J82" t="s">
        <v>35</v>
      </c>
      <c r="M82" t="s">
        <v>305</v>
      </c>
    </row>
    <row r="83" spans="1:13" x14ac:dyDescent="0.25">
      <c r="A83" s="1" t="s">
        <v>322</v>
      </c>
      <c r="B83" t="s">
        <v>323</v>
      </c>
      <c r="C83" t="s">
        <v>305</v>
      </c>
      <c r="D83" t="s">
        <v>107</v>
      </c>
      <c r="E83" t="s">
        <v>307</v>
      </c>
      <c r="F83">
        <v>16.05</v>
      </c>
      <c r="G83" t="s">
        <v>18</v>
      </c>
      <c r="J83" t="s">
        <v>35</v>
      </c>
      <c r="M83" t="s">
        <v>305</v>
      </c>
    </row>
    <row r="84" spans="1:13" x14ac:dyDescent="0.25">
      <c r="A84" s="1" t="s">
        <v>324</v>
      </c>
      <c r="B84" t="s">
        <v>325</v>
      </c>
      <c r="C84" t="s">
        <v>305</v>
      </c>
      <c r="D84" t="s">
        <v>107</v>
      </c>
      <c r="E84" t="s">
        <v>307</v>
      </c>
      <c r="F84">
        <v>16.05</v>
      </c>
      <c r="G84" t="s">
        <v>18</v>
      </c>
      <c r="J84" t="s">
        <v>35</v>
      </c>
      <c r="M84" t="s">
        <v>305</v>
      </c>
    </row>
    <row r="85" spans="1:13" x14ac:dyDescent="0.25">
      <c r="A85" s="1" t="s">
        <v>326</v>
      </c>
      <c r="B85" t="s">
        <v>327</v>
      </c>
      <c r="C85" t="s">
        <v>305</v>
      </c>
      <c r="D85" t="s">
        <v>107</v>
      </c>
      <c r="E85" t="s">
        <v>307</v>
      </c>
      <c r="F85">
        <v>16.05</v>
      </c>
      <c r="G85" t="s">
        <v>18</v>
      </c>
      <c r="J85" t="s">
        <v>35</v>
      </c>
      <c r="M85" t="s">
        <v>305</v>
      </c>
    </row>
    <row r="86" spans="1:13" x14ac:dyDescent="0.25">
      <c r="A86" s="1" t="s">
        <v>328</v>
      </c>
      <c r="B86" t="s">
        <v>329</v>
      </c>
      <c r="C86" t="s">
        <v>305</v>
      </c>
      <c r="D86" t="s">
        <v>107</v>
      </c>
      <c r="E86" t="s">
        <v>307</v>
      </c>
      <c r="F86">
        <v>16.05</v>
      </c>
      <c r="G86" t="s">
        <v>18</v>
      </c>
      <c r="J86" t="s">
        <v>35</v>
      </c>
      <c r="M86" t="s">
        <v>305</v>
      </c>
    </row>
    <row r="87" spans="1:13" x14ac:dyDescent="0.25">
      <c r="A87" s="1" t="s">
        <v>330</v>
      </c>
      <c r="B87" t="s">
        <v>331</v>
      </c>
      <c r="C87" t="s">
        <v>305</v>
      </c>
      <c r="D87" t="s">
        <v>107</v>
      </c>
      <c r="E87" t="s">
        <v>307</v>
      </c>
      <c r="F87">
        <v>16.05</v>
      </c>
      <c r="G87" t="s">
        <v>18</v>
      </c>
      <c r="J87" t="s">
        <v>35</v>
      </c>
      <c r="M87" t="s">
        <v>305</v>
      </c>
    </row>
    <row r="88" spans="1:13" x14ac:dyDescent="0.25">
      <c r="A88" s="1" t="s">
        <v>332</v>
      </c>
      <c r="B88" t="s">
        <v>333</v>
      </c>
      <c r="C88" t="s">
        <v>305</v>
      </c>
      <c r="D88" t="s">
        <v>107</v>
      </c>
      <c r="E88" t="s">
        <v>307</v>
      </c>
      <c r="F88">
        <v>16.05</v>
      </c>
      <c r="G88" t="s">
        <v>18</v>
      </c>
      <c r="J88" t="s">
        <v>35</v>
      </c>
      <c r="M88" t="s">
        <v>305</v>
      </c>
    </row>
    <row r="89" spans="1:13" x14ac:dyDescent="0.25">
      <c r="A89" s="1" t="s">
        <v>334</v>
      </c>
      <c r="B89" t="s">
        <v>335</v>
      </c>
      <c r="C89" t="s">
        <v>305</v>
      </c>
      <c r="D89" t="s">
        <v>107</v>
      </c>
      <c r="E89" t="s">
        <v>307</v>
      </c>
      <c r="F89">
        <v>16.05</v>
      </c>
      <c r="G89" t="s">
        <v>18</v>
      </c>
      <c r="J89" t="s">
        <v>35</v>
      </c>
      <c r="M89" t="s">
        <v>305</v>
      </c>
    </row>
    <row r="90" spans="1:13" x14ac:dyDescent="0.25">
      <c r="A90" s="1" t="s">
        <v>336</v>
      </c>
      <c r="B90" t="s">
        <v>337</v>
      </c>
      <c r="C90" t="s">
        <v>336</v>
      </c>
      <c r="D90" t="s">
        <v>338</v>
      </c>
      <c r="E90" t="s">
        <v>339</v>
      </c>
      <c r="F90">
        <v>252.73</v>
      </c>
      <c r="G90" t="s">
        <v>18</v>
      </c>
    </row>
    <row r="91" spans="1:13" x14ac:dyDescent="0.25">
      <c r="A91" s="1" t="s">
        <v>340</v>
      </c>
      <c r="B91" t="s">
        <v>341</v>
      </c>
      <c r="C91" t="s">
        <v>340</v>
      </c>
      <c r="D91" t="s">
        <v>342</v>
      </c>
      <c r="E91" t="s">
        <v>343</v>
      </c>
      <c r="F91">
        <v>119.35</v>
      </c>
      <c r="G91" t="s">
        <v>18</v>
      </c>
      <c r="J91" t="s">
        <v>344</v>
      </c>
      <c r="M91" t="s">
        <v>344</v>
      </c>
    </row>
    <row r="92" spans="1:13" x14ac:dyDescent="0.25">
      <c r="A92" s="1" t="s">
        <v>345</v>
      </c>
      <c r="B92" t="s">
        <v>346</v>
      </c>
      <c r="C92" t="s">
        <v>345</v>
      </c>
      <c r="D92" t="s">
        <v>347</v>
      </c>
      <c r="E92" t="s">
        <v>348</v>
      </c>
      <c r="F92">
        <v>28.01</v>
      </c>
      <c r="G92" t="s">
        <v>18</v>
      </c>
      <c r="J92" t="s">
        <v>345</v>
      </c>
    </row>
    <row r="93" spans="1:13" x14ac:dyDescent="0.25">
      <c r="A93" s="1" t="s">
        <v>349</v>
      </c>
      <c r="B93" t="s">
        <v>350</v>
      </c>
      <c r="C93" t="s">
        <v>349</v>
      </c>
      <c r="D93" t="s">
        <v>351</v>
      </c>
      <c r="E93" t="s">
        <v>352</v>
      </c>
      <c r="F93">
        <v>44.01</v>
      </c>
      <c r="G93" t="s">
        <v>18</v>
      </c>
      <c r="J93" t="s">
        <v>349</v>
      </c>
    </row>
    <row r="94" spans="1:13" x14ac:dyDescent="0.25">
      <c r="A94" s="1" t="s">
        <v>353</v>
      </c>
      <c r="B94" t="s">
        <v>354</v>
      </c>
      <c r="C94" t="s">
        <v>349</v>
      </c>
      <c r="D94" t="s">
        <v>351</v>
      </c>
      <c r="E94" t="s">
        <v>352</v>
      </c>
      <c r="F94">
        <v>44.01</v>
      </c>
      <c r="G94" t="s">
        <v>18</v>
      </c>
      <c r="J94" t="s">
        <v>35</v>
      </c>
    </row>
    <row r="95" spans="1:13" x14ac:dyDescent="0.25">
      <c r="A95" s="1" t="s">
        <v>355</v>
      </c>
      <c r="B95" t="s">
        <v>356</v>
      </c>
      <c r="C95" t="s">
        <v>349</v>
      </c>
      <c r="D95" t="s">
        <v>351</v>
      </c>
      <c r="E95" t="s">
        <v>352</v>
      </c>
      <c r="F95">
        <v>44.01</v>
      </c>
      <c r="G95" t="s">
        <v>18</v>
      </c>
      <c r="J95" t="s">
        <v>35</v>
      </c>
    </row>
    <row r="96" spans="1:13" x14ac:dyDescent="0.25">
      <c r="A96" s="1" t="s">
        <v>357</v>
      </c>
      <c r="B96" t="s">
        <v>358</v>
      </c>
      <c r="C96" t="s">
        <v>349</v>
      </c>
      <c r="D96" t="s">
        <v>351</v>
      </c>
      <c r="E96" t="s">
        <v>352</v>
      </c>
      <c r="F96">
        <v>44.01</v>
      </c>
      <c r="G96" t="s">
        <v>18</v>
      </c>
      <c r="J96" t="s">
        <v>35</v>
      </c>
    </row>
    <row r="97" spans="1:10" x14ac:dyDescent="0.25">
      <c r="A97" s="1" t="s">
        <v>359</v>
      </c>
      <c r="B97" t="s">
        <v>360</v>
      </c>
      <c r="C97" t="s">
        <v>349</v>
      </c>
      <c r="D97" t="s">
        <v>351</v>
      </c>
      <c r="E97" t="s">
        <v>352</v>
      </c>
      <c r="F97">
        <v>44.01</v>
      </c>
      <c r="G97" t="s">
        <v>18</v>
      </c>
      <c r="J97" t="s">
        <v>35</v>
      </c>
    </row>
    <row r="98" spans="1:10" x14ac:dyDescent="0.25">
      <c r="A98" s="1" t="s">
        <v>361</v>
      </c>
      <c r="B98" t="s">
        <v>362</v>
      </c>
      <c r="C98" t="s">
        <v>349</v>
      </c>
      <c r="D98" t="s">
        <v>351</v>
      </c>
      <c r="E98" t="s">
        <v>352</v>
      </c>
      <c r="F98">
        <v>44</v>
      </c>
      <c r="G98" t="s">
        <v>18</v>
      </c>
      <c r="J98" t="s">
        <v>35</v>
      </c>
    </row>
    <row r="99" spans="1:10" x14ac:dyDescent="0.25">
      <c r="A99" s="1" t="s">
        <v>363</v>
      </c>
      <c r="B99" t="s">
        <v>364</v>
      </c>
      <c r="C99" t="s">
        <v>349</v>
      </c>
      <c r="D99" t="s">
        <v>351</v>
      </c>
      <c r="E99" t="s">
        <v>352</v>
      </c>
      <c r="F99">
        <v>44.01</v>
      </c>
      <c r="G99" t="s">
        <v>18</v>
      </c>
      <c r="J99" t="s">
        <v>35</v>
      </c>
    </row>
    <row r="100" spans="1:10" x14ac:dyDescent="0.25">
      <c r="A100" s="1" t="s">
        <v>365</v>
      </c>
      <c r="B100" t="s">
        <v>366</v>
      </c>
      <c r="C100" t="s">
        <v>349</v>
      </c>
      <c r="D100" t="s">
        <v>351</v>
      </c>
      <c r="E100" t="s">
        <v>352</v>
      </c>
      <c r="F100">
        <v>44.01</v>
      </c>
      <c r="G100" t="s">
        <v>18</v>
      </c>
      <c r="J100" t="s">
        <v>35</v>
      </c>
    </row>
    <row r="101" spans="1:10" x14ac:dyDescent="0.25">
      <c r="A101" s="1" t="s">
        <v>367</v>
      </c>
      <c r="B101" t="s">
        <v>368</v>
      </c>
      <c r="C101" t="s">
        <v>349</v>
      </c>
      <c r="D101" t="s">
        <v>351</v>
      </c>
      <c r="E101" t="s">
        <v>352</v>
      </c>
      <c r="F101">
        <v>44.01</v>
      </c>
      <c r="G101" t="s">
        <v>18</v>
      </c>
      <c r="J101" t="s">
        <v>35</v>
      </c>
    </row>
    <row r="102" spans="1:10" x14ac:dyDescent="0.25">
      <c r="A102" s="1" t="s">
        <v>369</v>
      </c>
      <c r="B102" t="s">
        <v>370</v>
      </c>
      <c r="C102" t="s">
        <v>349</v>
      </c>
      <c r="D102" t="s">
        <v>351</v>
      </c>
      <c r="E102" t="s">
        <v>352</v>
      </c>
      <c r="F102">
        <v>44.01</v>
      </c>
      <c r="G102" t="s">
        <v>18</v>
      </c>
      <c r="J102" t="s">
        <v>35</v>
      </c>
    </row>
    <row r="103" spans="1:10" x14ac:dyDescent="0.25">
      <c r="A103" s="1" t="s">
        <v>371</v>
      </c>
      <c r="B103" t="s">
        <v>372</v>
      </c>
      <c r="C103" t="s">
        <v>349</v>
      </c>
      <c r="D103" t="s">
        <v>351</v>
      </c>
      <c r="E103" t="s">
        <v>352</v>
      </c>
      <c r="F103">
        <v>44.01</v>
      </c>
      <c r="G103" t="s">
        <v>18</v>
      </c>
      <c r="J103" t="s">
        <v>35</v>
      </c>
    </row>
    <row r="104" spans="1:10" x14ac:dyDescent="0.25">
      <c r="A104" s="1" t="s">
        <v>373</v>
      </c>
      <c r="B104" t="s">
        <v>374</v>
      </c>
      <c r="C104" t="s">
        <v>349</v>
      </c>
      <c r="D104" t="s">
        <v>351</v>
      </c>
      <c r="E104" t="s">
        <v>352</v>
      </c>
      <c r="F104">
        <v>44.01</v>
      </c>
      <c r="G104" t="s">
        <v>18</v>
      </c>
      <c r="J104" t="s">
        <v>35</v>
      </c>
    </row>
    <row r="105" spans="1:10" x14ac:dyDescent="0.25">
      <c r="A105" s="1" t="s">
        <v>375</v>
      </c>
      <c r="B105" t="s">
        <v>376</v>
      </c>
      <c r="C105" t="s">
        <v>349</v>
      </c>
      <c r="D105" t="s">
        <v>351</v>
      </c>
      <c r="E105" t="s">
        <v>352</v>
      </c>
      <c r="F105">
        <v>44</v>
      </c>
      <c r="G105" t="s">
        <v>18</v>
      </c>
      <c r="J105" t="s">
        <v>35</v>
      </c>
    </row>
    <row r="106" spans="1:10" x14ac:dyDescent="0.25">
      <c r="A106" s="1" t="s">
        <v>377</v>
      </c>
      <c r="B106" t="s">
        <v>378</v>
      </c>
      <c r="C106" t="s">
        <v>345</v>
      </c>
      <c r="D106" t="s">
        <v>347</v>
      </c>
      <c r="E106" t="s">
        <v>348</v>
      </c>
      <c r="F106">
        <v>28.01</v>
      </c>
      <c r="G106" t="s">
        <v>18</v>
      </c>
      <c r="J106" t="s">
        <v>35</v>
      </c>
    </row>
    <row r="107" spans="1:10" x14ac:dyDescent="0.25">
      <c r="A107" s="1" t="s">
        <v>379</v>
      </c>
      <c r="B107" t="s">
        <v>380</v>
      </c>
      <c r="C107" t="s">
        <v>345</v>
      </c>
      <c r="D107" t="s">
        <v>347</v>
      </c>
      <c r="E107" t="s">
        <v>348</v>
      </c>
      <c r="F107">
        <v>28.01</v>
      </c>
      <c r="G107" t="s">
        <v>18</v>
      </c>
      <c r="J107" t="s">
        <v>35</v>
      </c>
    </row>
    <row r="108" spans="1:10" x14ac:dyDescent="0.25">
      <c r="A108" s="1" t="s">
        <v>381</v>
      </c>
      <c r="B108" t="s">
        <v>382</v>
      </c>
      <c r="C108" t="s">
        <v>345</v>
      </c>
      <c r="D108" t="s">
        <v>347</v>
      </c>
      <c r="E108" t="s">
        <v>348</v>
      </c>
      <c r="F108">
        <v>28</v>
      </c>
      <c r="G108" t="s">
        <v>18</v>
      </c>
      <c r="J108" t="s">
        <v>35</v>
      </c>
    </row>
    <row r="109" spans="1:10" x14ac:dyDescent="0.25">
      <c r="A109" s="1" t="s">
        <v>383</v>
      </c>
      <c r="B109" t="s">
        <v>384</v>
      </c>
      <c r="C109" t="s">
        <v>345</v>
      </c>
      <c r="D109" t="s">
        <v>347</v>
      </c>
      <c r="E109" t="s">
        <v>348</v>
      </c>
      <c r="F109">
        <v>28</v>
      </c>
      <c r="G109" t="s">
        <v>18</v>
      </c>
      <c r="J109" t="s">
        <v>35</v>
      </c>
    </row>
    <row r="110" spans="1:10" x14ac:dyDescent="0.25">
      <c r="A110" s="1" t="s">
        <v>385</v>
      </c>
      <c r="B110" t="s">
        <v>386</v>
      </c>
      <c r="C110" t="s">
        <v>345</v>
      </c>
      <c r="D110" t="s">
        <v>347</v>
      </c>
      <c r="E110" t="s">
        <v>348</v>
      </c>
      <c r="F110">
        <v>28</v>
      </c>
      <c r="G110" t="s">
        <v>18</v>
      </c>
      <c r="J110" t="s">
        <v>35</v>
      </c>
    </row>
    <row r="111" spans="1:10" x14ac:dyDescent="0.25">
      <c r="A111" s="1" t="s">
        <v>387</v>
      </c>
      <c r="B111" t="s">
        <v>388</v>
      </c>
      <c r="C111" t="s">
        <v>345</v>
      </c>
      <c r="D111" t="s">
        <v>347</v>
      </c>
      <c r="E111" t="s">
        <v>348</v>
      </c>
      <c r="F111">
        <v>28</v>
      </c>
      <c r="G111" t="s">
        <v>18</v>
      </c>
      <c r="J111" t="s">
        <v>35</v>
      </c>
    </row>
    <row r="112" spans="1:10" x14ac:dyDescent="0.25">
      <c r="A112" s="1" t="s">
        <v>389</v>
      </c>
      <c r="B112" t="s">
        <v>390</v>
      </c>
      <c r="C112" t="s">
        <v>345</v>
      </c>
      <c r="D112" t="s">
        <v>347</v>
      </c>
      <c r="E112" t="s">
        <v>348</v>
      </c>
      <c r="F112">
        <v>28</v>
      </c>
      <c r="G112" t="s">
        <v>18</v>
      </c>
      <c r="J112" t="s">
        <v>35</v>
      </c>
    </row>
    <row r="113" spans="1:10" x14ac:dyDescent="0.25">
      <c r="A113" s="1" t="s">
        <v>391</v>
      </c>
      <c r="B113" t="s">
        <v>392</v>
      </c>
      <c r="C113" t="s">
        <v>345</v>
      </c>
      <c r="D113" t="s">
        <v>347</v>
      </c>
      <c r="E113" t="s">
        <v>348</v>
      </c>
      <c r="F113">
        <v>28</v>
      </c>
      <c r="G113" t="s">
        <v>18</v>
      </c>
      <c r="J113" t="s">
        <v>35</v>
      </c>
    </row>
    <row r="114" spans="1:10" x14ac:dyDescent="0.25">
      <c r="A114" s="1" t="s">
        <v>393</v>
      </c>
      <c r="B114" t="s">
        <v>394</v>
      </c>
      <c r="C114" t="s">
        <v>345</v>
      </c>
      <c r="D114" t="s">
        <v>347</v>
      </c>
      <c r="E114" t="s">
        <v>348</v>
      </c>
      <c r="F114">
        <v>28.01</v>
      </c>
      <c r="G114" t="s">
        <v>18</v>
      </c>
      <c r="J114" t="s">
        <v>35</v>
      </c>
    </row>
    <row r="115" spans="1:10" x14ac:dyDescent="0.25">
      <c r="A115" s="1" t="s">
        <v>395</v>
      </c>
      <c r="B115" t="s">
        <v>396</v>
      </c>
      <c r="C115" t="s">
        <v>345</v>
      </c>
      <c r="D115" t="s">
        <v>347</v>
      </c>
      <c r="E115" t="s">
        <v>348</v>
      </c>
      <c r="F115">
        <v>28.01</v>
      </c>
      <c r="G115" t="s">
        <v>18</v>
      </c>
      <c r="J115" t="s">
        <v>35</v>
      </c>
    </row>
    <row r="116" spans="1:10" x14ac:dyDescent="0.25">
      <c r="A116" s="1" t="s">
        <v>397</v>
      </c>
      <c r="B116" t="s">
        <v>398</v>
      </c>
      <c r="C116" t="s">
        <v>345</v>
      </c>
      <c r="D116" t="s">
        <v>347</v>
      </c>
      <c r="E116" t="s">
        <v>348</v>
      </c>
      <c r="F116">
        <v>28.01</v>
      </c>
      <c r="G116" t="s">
        <v>18</v>
      </c>
      <c r="J116" t="s">
        <v>35</v>
      </c>
    </row>
    <row r="117" spans="1:10" x14ac:dyDescent="0.25">
      <c r="A117" s="1" t="s">
        <v>399</v>
      </c>
      <c r="B117" t="s">
        <v>400</v>
      </c>
      <c r="C117" t="s">
        <v>345</v>
      </c>
      <c r="D117" t="s">
        <v>347</v>
      </c>
      <c r="E117" t="s">
        <v>348</v>
      </c>
      <c r="F117">
        <v>28.01</v>
      </c>
      <c r="G117" t="s">
        <v>18</v>
      </c>
      <c r="J117" t="s">
        <v>35</v>
      </c>
    </row>
    <row r="118" spans="1:10" x14ac:dyDescent="0.25">
      <c r="A118" s="1" t="s">
        <v>401</v>
      </c>
      <c r="B118" t="s">
        <v>402</v>
      </c>
      <c r="C118" t="s">
        <v>345</v>
      </c>
      <c r="D118" t="s">
        <v>347</v>
      </c>
      <c r="E118" t="s">
        <v>348</v>
      </c>
      <c r="F118">
        <v>28.01</v>
      </c>
      <c r="G118" t="s">
        <v>18</v>
      </c>
      <c r="J118" t="s">
        <v>35</v>
      </c>
    </row>
    <row r="119" spans="1:10" x14ac:dyDescent="0.25">
      <c r="A119" s="1" t="s">
        <v>403</v>
      </c>
      <c r="B119" t="s">
        <v>404</v>
      </c>
      <c r="C119" t="s">
        <v>345</v>
      </c>
      <c r="D119" t="s">
        <v>347</v>
      </c>
      <c r="E119" t="s">
        <v>348</v>
      </c>
      <c r="F119">
        <v>28.01</v>
      </c>
      <c r="G119" t="s">
        <v>18</v>
      </c>
      <c r="J119" t="s">
        <v>35</v>
      </c>
    </row>
    <row r="120" spans="1:10" x14ac:dyDescent="0.25">
      <c r="A120" s="1" t="s">
        <v>405</v>
      </c>
      <c r="B120" t="s">
        <v>406</v>
      </c>
      <c r="C120" t="s">
        <v>345</v>
      </c>
      <c r="D120" t="s">
        <v>347</v>
      </c>
      <c r="E120" t="s">
        <v>348</v>
      </c>
      <c r="F120">
        <v>28.01</v>
      </c>
      <c r="G120" t="s">
        <v>18</v>
      </c>
      <c r="J120" t="s">
        <v>35</v>
      </c>
    </row>
    <row r="121" spans="1:10" x14ac:dyDescent="0.25">
      <c r="A121" s="1" t="s">
        <v>407</v>
      </c>
      <c r="B121" t="s">
        <v>408</v>
      </c>
      <c r="C121" t="s">
        <v>345</v>
      </c>
      <c r="D121" t="s">
        <v>347</v>
      </c>
      <c r="E121" t="s">
        <v>348</v>
      </c>
      <c r="F121">
        <v>28.01</v>
      </c>
      <c r="G121" t="s">
        <v>18</v>
      </c>
      <c r="J121" t="s">
        <v>35</v>
      </c>
    </row>
    <row r="122" spans="1:10" x14ac:dyDescent="0.25">
      <c r="A122" s="1" t="s">
        <v>409</v>
      </c>
      <c r="B122" t="s">
        <v>410</v>
      </c>
      <c r="C122" t="s">
        <v>345</v>
      </c>
      <c r="D122" t="s">
        <v>347</v>
      </c>
      <c r="E122" t="s">
        <v>348</v>
      </c>
      <c r="F122">
        <v>28.01</v>
      </c>
      <c r="G122" t="s">
        <v>18</v>
      </c>
      <c r="J122" t="s">
        <v>35</v>
      </c>
    </row>
    <row r="123" spans="1:10" x14ac:dyDescent="0.25">
      <c r="A123" s="1" t="s">
        <v>411</v>
      </c>
      <c r="B123" t="s">
        <v>412</v>
      </c>
      <c r="C123" t="s">
        <v>345</v>
      </c>
      <c r="D123" t="s">
        <v>347</v>
      </c>
      <c r="E123" t="s">
        <v>348</v>
      </c>
      <c r="F123">
        <v>28.01</v>
      </c>
      <c r="G123" t="s">
        <v>18</v>
      </c>
      <c r="J123" t="s">
        <v>35</v>
      </c>
    </row>
    <row r="124" spans="1:10" x14ac:dyDescent="0.25">
      <c r="A124" s="1" t="s">
        <v>413</v>
      </c>
      <c r="B124" t="s">
        <v>414</v>
      </c>
      <c r="C124" t="s">
        <v>345</v>
      </c>
      <c r="D124" t="s">
        <v>347</v>
      </c>
      <c r="E124" t="s">
        <v>348</v>
      </c>
      <c r="F124">
        <v>28.01</v>
      </c>
      <c r="G124" t="s">
        <v>18</v>
      </c>
      <c r="J124" t="s">
        <v>35</v>
      </c>
    </row>
    <row r="125" spans="1:10" x14ac:dyDescent="0.25">
      <c r="A125" s="1" t="s">
        <v>415</v>
      </c>
      <c r="B125" t="s">
        <v>416</v>
      </c>
      <c r="C125" t="s">
        <v>345</v>
      </c>
      <c r="D125" t="s">
        <v>347</v>
      </c>
      <c r="E125" t="s">
        <v>348</v>
      </c>
      <c r="F125">
        <v>28.01</v>
      </c>
      <c r="G125" t="s">
        <v>18</v>
      </c>
      <c r="J125" t="s">
        <v>35</v>
      </c>
    </row>
    <row r="126" spans="1:10" x14ac:dyDescent="0.25">
      <c r="A126" s="1" t="s">
        <v>417</v>
      </c>
      <c r="B126" t="s">
        <v>418</v>
      </c>
      <c r="C126" t="s">
        <v>345</v>
      </c>
      <c r="D126" t="s">
        <v>347</v>
      </c>
      <c r="E126" t="s">
        <v>348</v>
      </c>
      <c r="F126">
        <v>28.01</v>
      </c>
      <c r="G126" t="s">
        <v>18</v>
      </c>
      <c r="J126" t="s">
        <v>35</v>
      </c>
    </row>
    <row r="127" spans="1:10" x14ac:dyDescent="0.25">
      <c r="A127" s="1" t="s">
        <v>419</v>
      </c>
      <c r="B127" t="s">
        <v>420</v>
      </c>
      <c r="C127" t="s">
        <v>345</v>
      </c>
      <c r="D127" t="s">
        <v>347</v>
      </c>
      <c r="E127" t="s">
        <v>348</v>
      </c>
      <c r="F127">
        <v>28.01</v>
      </c>
      <c r="G127" t="s">
        <v>18</v>
      </c>
      <c r="J127" t="s">
        <v>35</v>
      </c>
    </row>
    <row r="128" spans="1:10" x14ac:dyDescent="0.25">
      <c r="A128" s="1" t="s">
        <v>421</v>
      </c>
      <c r="B128" t="s">
        <v>422</v>
      </c>
      <c r="C128" t="s">
        <v>345</v>
      </c>
      <c r="D128" t="s">
        <v>347</v>
      </c>
      <c r="E128" t="s">
        <v>348</v>
      </c>
      <c r="F128">
        <v>28.01</v>
      </c>
      <c r="G128" t="s">
        <v>18</v>
      </c>
      <c r="J128" t="s">
        <v>35</v>
      </c>
    </row>
    <row r="129" spans="1:13" x14ac:dyDescent="0.25">
      <c r="A129" s="1" t="s">
        <v>423</v>
      </c>
      <c r="B129" t="s">
        <v>424</v>
      </c>
      <c r="C129" t="s">
        <v>425</v>
      </c>
      <c r="D129" t="s">
        <v>426</v>
      </c>
      <c r="E129" t="s">
        <v>427</v>
      </c>
      <c r="F129">
        <v>108.14</v>
      </c>
      <c r="G129" t="s">
        <v>18</v>
      </c>
      <c r="J129" t="s">
        <v>428</v>
      </c>
      <c r="M129" t="s">
        <v>429</v>
      </c>
    </row>
    <row r="130" spans="1:13" s="6" customFormat="1" x14ac:dyDescent="0.25">
      <c r="A130" s="5" t="s">
        <v>430</v>
      </c>
      <c r="C130" s="6" t="s">
        <v>431</v>
      </c>
      <c r="D130" s="6" t="s">
        <v>35</v>
      </c>
      <c r="F130" s="6">
        <v>40.08</v>
      </c>
      <c r="G130" s="6" t="s">
        <v>36</v>
      </c>
      <c r="J130" s="6" t="s">
        <v>35</v>
      </c>
    </row>
    <row r="131" spans="1:13" s="6" customFormat="1" x14ac:dyDescent="0.25">
      <c r="A131" s="5" t="s">
        <v>432</v>
      </c>
      <c r="C131" s="6" t="s">
        <v>431</v>
      </c>
      <c r="D131" s="6" t="s">
        <v>35</v>
      </c>
      <c r="F131" s="6">
        <v>40.08</v>
      </c>
      <c r="G131" s="6" t="s">
        <v>36</v>
      </c>
      <c r="J131" s="6" t="s">
        <v>35</v>
      </c>
    </row>
    <row r="132" spans="1:13" s="6" customFormat="1" x14ac:dyDescent="0.25">
      <c r="A132" s="5" t="s">
        <v>433</v>
      </c>
      <c r="C132" s="6" t="s">
        <v>431</v>
      </c>
      <c r="D132" s="6" t="s">
        <v>35</v>
      </c>
      <c r="F132" s="6">
        <v>40.08</v>
      </c>
      <c r="G132" s="6" t="s">
        <v>36</v>
      </c>
      <c r="J132" s="6" t="s">
        <v>35</v>
      </c>
    </row>
    <row r="133" spans="1:13" s="6" customFormat="1" x14ac:dyDescent="0.25">
      <c r="A133" s="5" t="s">
        <v>434</v>
      </c>
      <c r="C133" s="6" t="s">
        <v>431</v>
      </c>
      <c r="D133" s="6" t="s">
        <v>35</v>
      </c>
      <c r="F133" s="6">
        <v>40.08</v>
      </c>
      <c r="G133" s="6" t="s">
        <v>36</v>
      </c>
      <c r="J133" s="6" t="s">
        <v>35</v>
      </c>
    </row>
    <row r="134" spans="1:13" s="6" customFormat="1" x14ac:dyDescent="0.25">
      <c r="A134" s="5" t="s">
        <v>435</v>
      </c>
      <c r="C134" s="6" t="s">
        <v>436</v>
      </c>
      <c r="D134" s="6" t="s">
        <v>35</v>
      </c>
      <c r="F134" s="6">
        <v>112.41</v>
      </c>
      <c r="G134" s="6" t="s">
        <v>36</v>
      </c>
      <c r="J134" s="6" t="s">
        <v>35</v>
      </c>
    </row>
    <row r="135" spans="1:13" s="6" customFormat="1" x14ac:dyDescent="0.25">
      <c r="A135" s="5" t="s">
        <v>437</v>
      </c>
      <c r="C135" s="6" t="s">
        <v>436</v>
      </c>
      <c r="D135" s="6" t="s">
        <v>35</v>
      </c>
      <c r="F135" s="6">
        <v>112.41</v>
      </c>
      <c r="G135" s="6" t="s">
        <v>36</v>
      </c>
      <c r="J135" s="6" t="s">
        <v>35</v>
      </c>
    </row>
    <row r="136" spans="1:13" x14ac:dyDescent="0.25">
      <c r="A136" s="1" t="s">
        <v>438</v>
      </c>
      <c r="B136" t="s">
        <v>439</v>
      </c>
      <c r="C136" t="s">
        <v>438</v>
      </c>
      <c r="D136" t="s">
        <v>440</v>
      </c>
      <c r="E136" t="s">
        <v>441</v>
      </c>
      <c r="F136">
        <v>35.450000000000003</v>
      </c>
      <c r="G136" t="s">
        <v>18</v>
      </c>
      <c r="J136" t="s">
        <v>438</v>
      </c>
    </row>
    <row r="137" spans="1:13" x14ac:dyDescent="0.25">
      <c r="A137" s="1" t="s">
        <v>442</v>
      </c>
      <c r="B137" t="s">
        <v>443</v>
      </c>
      <c r="C137" t="s">
        <v>442</v>
      </c>
      <c r="D137" t="s">
        <v>444</v>
      </c>
      <c r="E137" t="s">
        <v>445</v>
      </c>
      <c r="F137">
        <v>70.900000000000006</v>
      </c>
      <c r="G137" t="s">
        <v>18</v>
      </c>
      <c r="J137" t="s">
        <v>442</v>
      </c>
    </row>
    <row r="138" spans="1:13" x14ac:dyDescent="0.25">
      <c r="A138" s="1" t="s">
        <v>446</v>
      </c>
      <c r="B138" t="s">
        <v>447</v>
      </c>
      <c r="C138" t="s">
        <v>446</v>
      </c>
      <c r="D138" t="s">
        <v>448</v>
      </c>
      <c r="E138" t="s">
        <v>449</v>
      </c>
      <c r="F138">
        <v>102.91</v>
      </c>
      <c r="G138" t="s">
        <v>18</v>
      </c>
    </row>
    <row r="139" spans="1:13" x14ac:dyDescent="0.25">
      <c r="A139" s="1" t="s">
        <v>450</v>
      </c>
      <c r="B139" t="s">
        <v>451</v>
      </c>
      <c r="C139" t="s">
        <v>450</v>
      </c>
      <c r="D139" t="s">
        <v>452</v>
      </c>
      <c r="E139" t="s">
        <v>453</v>
      </c>
      <c r="F139">
        <v>81.45</v>
      </c>
      <c r="G139" t="s">
        <v>18</v>
      </c>
      <c r="J139" t="s">
        <v>450</v>
      </c>
    </row>
    <row r="140" spans="1:13" x14ac:dyDescent="0.25">
      <c r="A140" s="1" t="s">
        <v>454</v>
      </c>
      <c r="B140" t="s">
        <v>455</v>
      </c>
      <c r="C140" t="s">
        <v>454</v>
      </c>
      <c r="D140" t="s">
        <v>456</v>
      </c>
      <c r="E140" t="s">
        <v>457</v>
      </c>
      <c r="F140">
        <v>97.45</v>
      </c>
      <c r="G140" t="s">
        <v>18</v>
      </c>
      <c r="J140" t="s">
        <v>454</v>
      </c>
    </row>
    <row r="141" spans="1:13" x14ac:dyDescent="0.25">
      <c r="A141" s="1" t="s">
        <v>458</v>
      </c>
      <c r="B141" t="s">
        <v>459</v>
      </c>
      <c r="C141" t="s">
        <v>458</v>
      </c>
      <c r="D141" t="s">
        <v>460</v>
      </c>
      <c r="E141" t="s">
        <v>461</v>
      </c>
      <c r="F141">
        <v>51.45</v>
      </c>
      <c r="G141" t="s">
        <v>18</v>
      </c>
      <c r="J141" t="s">
        <v>458</v>
      </c>
    </row>
    <row r="142" spans="1:13" x14ac:dyDescent="0.25">
      <c r="A142" s="1" t="s">
        <v>462</v>
      </c>
      <c r="B142" t="s">
        <v>463</v>
      </c>
      <c r="C142" t="s">
        <v>462</v>
      </c>
      <c r="D142" t="s">
        <v>464</v>
      </c>
      <c r="E142" t="s">
        <v>465</v>
      </c>
      <c r="F142">
        <v>67.45</v>
      </c>
      <c r="G142" t="s">
        <v>18</v>
      </c>
    </row>
    <row r="143" spans="1:13" x14ac:dyDescent="0.25">
      <c r="A143" s="1" t="s">
        <v>466</v>
      </c>
      <c r="B143" t="s">
        <v>467</v>
      </c>
      <c r="C143" t="s">
        <v>468</v>
      </c>
      <c r="D143" t="s">
        <v>35</v>
      </c>
      <c r="E143" t="s">
        <v>469</v>
      </c>
      <c r="F143">
        <v>164</v>
      </c>
      <c r="G143" t="s">
        <v>18</v>
      </c>
      <c r="H143" t="s">
        <v>470</v>
      </c>
      <c r="J143" t="s">
        <v>471</v>
      </c>
      <c r="M143" t="s">
        <v>472</v>
      </c>
    </row>
    <row r="144" spans="1:13" x14ac:dyDescent="0.25">
      <c r="A144" s="1" t="s">
        <v>473</v>
      </c>
      <c r="B144" t="s">
        <v>474</v>
      </c>
      <c r="C144" t="s">
        <v>475</v>
      </c>
      <c r="D144" t="s">
        <v>35</v>
      </c>
      <c r="F144">
        <v>226</v>
      </c>
      <c r="G144" t="s">
        <v>18</v>
      </c>
      <c r="H144" t="s">
        <v>470</v>
      </c>
    </row>
    <row r="145" spans="1:13" x14ac:dyDescent="0.25">
      <c r="A145" s="1" t="s">
        <v>476</v>
      </c>
      <c r="B145" t="s">
        <v>477</v>
      </c>
      <c r="C145" t="s">
        <v>478</v>
      </c>
      <c r="D145" t="s">
        <v>35</v>
      </c>
      <c r="G145" t="s">
        <v>18</v>
      </c>
      <c r="H145" t="s">
        <v>479</v>
      </c>
    </row>
    <row r="146" spans="1:13" x14ac:dyDescent="0.25">
      <c r="A146" s="1" t="s">
        <v>480</v>
      </c>
      <c r="B146" t="s">
        <v>481</v>
      </c>
      <c r="C146" t="s">
        <v>482</v>
      </c>
      <c r="D146" t="s">
        <v>35</v>
      </c>
      <c r="F146">
        <v>181</v>
      </c>
      <c r="G146" t="s">
        <v>18</v>
      </c>
      <c r="H146" t="s">
        <v>470</v>
      </c>
      <c r="M146" t="s">
        <v>483</v>
      </c>
    </row>
    <row r="147" spans="1:13" x14ac:dyDescent="0.25">
      <c r="A147" s="1" t="s">
        <v>484</v>
      </c>
      <c r="B147" t="s">
        <v>485</v>
      </c>
      <c r="D147" t="s">
        <v>35</v>
      </c>
      <c r="G147" t="s">
        <v>18</v>
      </c>
      <c r="H147" t="s">
        <v>479</v>
      </c>
    </row>
    <row r="148" spans="1:13" x14ac:dyDescent="0.25">
      <c r="A148" s="1" t="s">
        <v>486</v>
      </c>
      <c r="B148" t="s">
        <v>487</v>
      </c>
      <c r="C148" t="s">
        <v>488</v>
      </c>
      <c r="D148" t="s">
        <v>489</v>
      </c>
      <c r="E148" t="s">
        <v>490</v>
      </c>
      <c r="F148">
        <v>62.13</v>
      </c>
      <c r="G148" t="s">
        <v>36</v>
      </c>
      <c r="J148" t="s">
        <v>486</v>
      </c>
    </row>
    <row r="149" spans="1:13" s="6" customFormat="1" x14ac:dyDescent="0.25">
      <c r="A149" s="5" t="s">
        <v>491</v>
      </c>
      <c r="B149" s="6" t="s">
        <v>492</v>
      </c>
      <c r="D149" s="6" t="s">
        <v>35</v>
      </c>
      <c r="F149" s="6">
        <v>29</v>
      </c>
      <c r="G149" s="6" t="s">
        <v>36</v>
      </c>
      <c r="J149" s="6" t="s">
        <v>35</v>
      </c>
    </row>
    <row r="150" spans="1:13" s="6" customFormat="1" x14ac:dyDescent="0.25">
      <c r="A150" s="5" t="s">
        <v>493</v>
      </c>
      <c r="B150" s="6" t="s">
        <v>494</v>
      </c>
      <c r="D150" s="6" t="s">
        <v>35</v>
      </c>
      <c r="F150" s="6">
        <v>29</v>
      </c>
      <c r="G150" s="6" t="s">
        <v>36</v>
      </c>
      <c r="J150" s="6" t="s">
        <v>35</v>
      </c>
    </row>
    <row r="151" spans="1:13" s="6" customFormat="1" x14ac:dyDescent="0.25">
      <c r="A151" s="5" t="s">
        <v>495</v>
      </c>
      <c r="B151" s="6" t="s">
        <v>496</v>
      </c>
      <c r="D151" s="6" t="s">
        <v>35</v>
      </c>
      <c r="F151" s="6">
        <v>29</v>
      </c>
      <c r="G151" s="6" t="s">
        <v>36</v>
      </c>
      <c r="J151" s="6" t="s">
        <v>35</v>
      </c>
    </row>
    <row r="152" spans="1:13" s="6" customFormat="1" x14ac:dyDescent="0.25">
      <c r="A152" s="5" t="s">
        <v>497</v>
      </c>
      <c r="B152" s="6" t="s">
        <v>498</v>
      </c>
      <c r="D152" s="6" t="s">
        <v>35</v>
      </c>
      <c r="F152" s="6">
        <v>29</v>
      </c>
      <c r="G152" s="6" t="s">
        <v>36</v>
      </c>
      <c r="J152" s="6" t="s">
        <v>35</v>
      </c>
    </row>
    <row r="153" spans="1:13" s="6" customFormat="1" x14ac:dyDescent="0.25">
      <c r="A153" s="5" t="s">
        <v>499</v>
      </c>
      <c r="B153" s="6" t="s">
        <v>500</v>
      </c>
      <c r="D153" s="6" t="s">
        <v>35</v>
      </c>
      <c r="F153" s="6">
        <v>29</v>
      </c>
      <c r="G153" s="6" t="s">
        <v>36</v>
      </c>
      <c r="J153" s="6" t="s">
        <v>35</v>
      </c>
    </row>
    <row r="154" spans="1:13" s="6" customFormat="1" x14ac:dyDescent="0.25">
      <c r="A154" s="5" t="s">
        <v>501</v>
      </c>
      <c r="B154" s="6" t="s">
        <v>502</v>
      </c>
      <c r="D154" s="6" t="s">
        <v>35</v>
      </c>
      <c r="F154" s="6">
        <v>29</v>
      </c>
      <c r="G154" s="6" t="s">
        <v>36</v>
      </c>
      <c r="J154" s="6" t="s">
        <v>35</v>
      </c>
    </row>
    <row r="155" spans="1:13" s="6" customFormat="1" x14ac:dyDescent="0.25">
      <c r="A155" s="5" t="s">
        <v>503</v>
      </c>
      <c r="B155" s="6" t="s">
        <v>504</v>
      </c>
      <c r="D155" s="6" t="s">
        <v>35</v>
      </c>
      <c r="F155" s="6">
        <v>29</v>
      </c>
      <c r="G155" s="6" t="s">
        <v>36</v>
      </c>
      <c r="J155" s="6" t="s">
        <v>35</v>
      </c>
    </row>
    <row r="156" spans="1:13" s="6" customFormat="1" x14ac:dyDescent="0.25">
      <c r="A156" s="5" t="s">
        <v>505</v>
      </c>
      <c r="B156" s="6" t="s">
        <v>506</v>
      </c>
      <c r="D156" s="6" t="s">
        <v>35</v>
      </c>
      <c r="F156" s="6">
        <v>29</v>
      </c>
      <c r="G156" s="6" t="s">
        <v>36</v>
      </c>
      <c r="J156" s="6" t="s">
        <v>35</v>
      </c>
    </row>
    <row r="157" spans="1:13" x14ac:dyDescent="0.25">
      <c r="A157" s="1" t="s">
        <v>507</v>
      </c>
      <c r="B157" t="s">
        <v>508</v>
      </c>
      <c r="C157" t="s">
        <v>509</v>
      </c>
      <c r="D157" t="s">
        <v>510</v>
      </c>
      <c r="E157" t="s">
        <v>511</v>
      </c>
      <c r="F157">
        <v>46.07</v>
      </c>
      <c r="G157" t="s">
        <v>18</v>
      </c>
      <c r="J157" t="s">
        <v>509</v>
      </c>
    </row>
    <row r="158" spans="1:13" x14ac:dyDescent="0.25">
      <c r="A158" s="1" t="s">
        <v>512</v>
      </c>
      <c r="B158" t="s">
        <v>513</v>
      </c>
      <c r="C158" t="s">
        <v>514</v>
      </c>
      <c r="D158" t="s">
        <v>515</v>
      </c>
      <c r="E158" t="s">
        <v>516</v>
      </c>
      <c r="F158">
        <v>105.06</v>
      </c>
      <c r="G158" t="s">
        <v>18</v>
      </c>
      <c r="J158" t="s">
        <v>517</v>
      </c>
      <c r="K158" t="s">
        <v>512</v>
      </c>
      <c r="L158" t="s">
        <v>512</v>
      </c>
    </row>
    <row r="159" spans="1:13" x14ac:dyDescent="0.25">
      <c r="A159" s="1" t="s">
        <v>518</v>
      </c>
      <c r="B159" t="s">
        <v>519</v>
      </c>
      <c r="C159" t="s">
        <v>520</v>
      </c>
      <c r="D159" t="s">
        <v>521</v>
      </c>
      <c r="E159" t="s">
        <v>522</v>
      </c>
      <c r="F159">
        <v>107.07</v>
      </c>
      <c r="G159" t="s">
        <v>18</v>
      </c>
      <c r="J159" t="s">
        <v>523</v>
      </c>
    </row>
    <row r="160" spans="1:13" x14ac:dyDescent="0.25">
      <c r="A160" s="1" t="s">
        <v>524</v>
      </c>
      <c r="B160" t="s">
        <v>525</v>
      </c>
      <c r="C160" t="s">
        <v>526</v>
      </c>
      <c r="D160" t="s">
        <v>527</v>
      </c>
      <c r="E160" t="s">
        <v>528</v>
      </c>
      <c r="F160">
        <v>78.069999999999993</v>
      </c>
      <c r="G160" t="s">
        <v>18</v>
      </c>
      <c r="J160" t="s">
        <v>529</v>
      </c>
    </row>
    <row r="161" spans="1:12" x14ac:dyDescent="0.25">
      <c r="A161" s="1" t="s">
        <v>530</v>
      </c>
      <c r="B161" t="s">
        <v>531</v>
      </c>
      <c r="C161" t="s">
        <v>532</v>
      </c>
      <c r="D161" t="s">
        <v>533</v>
      </c>
      <c r="E161" t="s">
        <v>534</v>
      </c>
      <c r="F161">
        <v>91.08</v>
      </c>
      <c r="G161" t="s">
        <v>18</v>
      </c>
      <c r="J161" t="s">
        <v>535</v>
      </c>
    </row>
    <row r="162" spans="1:12" x14ac:dyDescent="0.25">
      <c r="A162" s="1" t="s">
        <v>536</v>
      </c>
      <c r="B162" t="s">
        <v>537</v>
      </c>
      <c r="C162" t="s">
        <v>538</v>
      </c>
      <c r="D162" t="s">
        <v>539</v>
      </c>
      <c r="E162" t="s">
        <v>540</v>
      </c>
      <c r="F162">
        <v>61.06</v>
      </c>
      <c r="G162" t="s">
        <v>18</v>
      </c>
      <c r="J162" t="s">
        <v>541</v>
      </c>
    </row>
    <row r="163" spans="1:12" x14ac:dyDescent="0.25">
      <c r="A163" s="1" t="s">
        <v>542</v>
      </c>
      <c r="B163" t="s">
        <v>542</v>
      </c>
      <c r="C163" t="s">
        <v>543</v>
      </c>
      <c r="D163" t="s">
        <v>544</v>
      </c>
      <c r="E163" t="s">
        <v>545</v>
      </c>
      <c r="F163">
        <v>61.07</v>
      </c>
      <c r="G163" t="s">
        <v>18</v>
      </c>
      <c r="J163" t="s">
        <v>546</v>
      </c>
    </row>
    <row r="164" spans="1:12" x14ac:dyDescent="0.25">
      <c r="A164" s="1" t="s">
        <v>547</v>
      </c>
      <c r="B164" t="s">
        <v>548</v>
      </c>
      <c r="C164" t="s">
        <v>549</v>
      </c>
      <c r="D164" t="s">
        <v>550</v>
      </c>
      <c r="E164" t="s">
        <v>551</v>
      </c>
      <c r="F164">
        <v>77.06</v>
      </c>
      <c r="G164" t="s">
        <v>18</v>
      </c>
      <c r="J164" t="s">
        <v>552</v>
      </c>
    </row>
    <row r="165" spans="1:12" x14ac:dyDescent="0.25">
      <c r="A165" s="1" t="s">
        <v>553</v>
      </c>
      <c r="B165" t="s">
        <v>554</v>
      </c>
      <c r="C165" t="s">
        <v>555</v>
      </c>
      <c r="D165" t="s">
        <v>556</v>
      </c>
      <c r="E165" t="s">
        <v>557</v>
      </c>
      <c r="F165">
        <v>62.08</v>
      </c>
      <c r="G165" t="s">
        <v>18</v>
      </c>
      <c r="J165" t="s">
        <v>558</v>
      </c>
    </row>
    <row r="166" spans="1:12" s="6" customFormat="1" x14ac:dyDescent="0.25">
      <c r="A166" s="5" t="s">
        <v>559</v>
      </c>
      <c r="C166" s="6" t="s">
        <v>560</v>
      </c>
      <c r="D166" s="6" t="s">
        <v>35</v>
      </c>
      <c r="F166" s="6">
        <v>55.84</v>
      </c>
      <c r="G166" s="6" t="s">
        <v>36</v>
      </c>
      <c r="J166" s="6" t="s">
        <v>35</v>
      </c>
    </row>
    <row r="167" spans="1:12" s="6" customFormat="1" x14ac:dyDescent="0.25">
      <c r="A167" s="5" t="s">
        <v>561</v>
      </c>
      <c r="C167" s="6" t="s">
        <v>560</v>
      </c>
      <c r="D167" s="6" t="s">
        <v>35</v>
      </c>
      <c r="F167" s="6">
        <v>55.84</v>
      </c>
      <c r="G167" s="6" t="s">
        <v>36</v>
      </c>
      <c r="J167" s="6" t="s">
        <v>35</v>
      </c>
    </row>
    <row r="168" spans="1:12" x14ac:dyDescent="0.25">
      <c r="A168" s="1" t="s">
        <v>562</v>
      </c>
      <c r="B168" t="s">
        <v>274</v>
      </c>
      <c r="C168" t="s">
        <v>563</v>
      </c>
      <c r="D168" t="s">
        <v>564</v>
      </c>
      <c r="E168" t="s">
        <v>565</v>
      </c>
      <c r="F168">
        <v>76.051000000000002</v>
      </c>
      <c r="G168" t="s">
        <v>18</v>
      </c>
      <c r="H168" t="s">
        <v>566</v>
      </c>
      <c r="J168" t="s">
        <v>567</v>
      </c>
    </row>
    <row r="169" spans="1:12" x14ac:dyDescent="0.25">
      <c r="A169" s="1" t="s">
        <v>568</v>
      </c>
      <c r="B169" t="s">
        <v>569</v>
      </c>
      <c r="C169" t="s">
        <v>570</v>
      </c>
      <c r="D169" t="s">
        <v>571</v>
      </c>
      <c r="E169" t="s">
        <v>572</v>
      </c>
      <c r="F169">
        <v>60.06</v>
      </c>
      <c r="G169" t="s">
        <v>18</v>
      </c>
      <c r="J169" t="s">
        <v>573</v>
      </c>
      <c r="K169" t="s">
        <v>568</v>
      </c>
      <c r="L169" t="s">
        <v>568</v>
      </c>
    </row>
    <row r="170" spans="1:12" x14ac:dyDescent="0.25">
      <c r="A170" s="1" t="s">
        <v>574</v>
      </c>
      <c r="B170" t="s">
        <v>575</v>
      </c>
      <c r="C170" t="s">
        <v>576</v>
      </c>
      <c r="D170" t="s">
        <v>577</v>
      </c>
      <c r="E170" t="s">
        <v>578</v>
      </c>
      <c r="F170">
        <v>58.04</v>
      </c>
      <c r="G170" t="s">
        <v>18</v>
      </c>
      <c r="J170" t="s">
        <v>579</v>
      </c>
      <c r="K170" t="s">
        <v>574</v>
      </c>
      <c r="L170" t="s">
        <v>574</v>
      </c>
    </row>
    <row r="171" spans="1:12" x14ac:dyDescent="0.25">
      <c r="A171" s="1" t="s">
        <v>580</v>
      </c>
      <c r="B171" t="s">
        <v>581</v>
      </c>
      <c r="C171" t="s">
        <v>580</v>
      </c>
      <c r="D171" t="s">
        <v>582</v>
      </c>
      <c r="E171" t="s">
        <v>583</v>
      </c>
      <c r="F171">
        <v>1.01</v>
      </c>
      <c r="G171" t="s">
        <v>18</v>
      </c>
    </row>
    <row r="172" spans="1:12" x14ac:dyDescent="0.25">
      <c r="A172" s="1" t="s">
        <v>584</v>
      </c>
      <c r="B172" t="s">
        <v>585</v>
      </c>
      <c r="C172" t="s">
        <v>586</v>
      </c>
      <c r="D172" t="s">
        <v>587</v>
      </c>
      <c r="E172" t="s">
        <v>588</v>
      </c>
      <c r="F172">
        <v>165.36</v>
      </c>
      <c r="G172" t="s">
        <v>18</v>
      </c>
      <c r="J172" t="s">
        <v>35</v>
      </c>
    </row>
    <row r="173" spans="1:12" x14ac:dyDescent="0.25">
      <c r="A173" s="1" t="s">
        <v>589</v>
      </c>
      <c r="B173" t="s">
        <v>590</v>
      </c>
      <c r="C173" t="s">
        <v>591</v>
      </c>
      <c r="D173" t="s">
        <v>592</v>
      </c>
      <c r="E173" t="s">
        <v>593</v>
      </c>
      <c r="F173">
        <v>148.91</v>
      </c>
      <c r="G173" t="s">
        <v>18</v>
      </c>
      <c r="J173" t="s">
        <v>35</v>
      </c>
    </row>
    <row r="174" spans="1:12" x14ac:dyDescent="0.25">
      <c r="A174" s="1" t="s">
        <v>594</v>
      </c>
      <c r="B174" t="s">
        <v>595</v>
      </c>
      <c r="C174" t="s">
        <v>594</v>
      </c>
      <c r="D174" t="s">
        <v>596</v>
      </c>
      <c r="E174" t="s">
        <v>597</v>
      </c>
      <c r="F174">
        <v>2.02</v>
      </c>
      <c r="G174" t="s">
        <v>18</v>
      </c>
    </row>
    <row r="175" spans="1:12" x14ac:dyDescent="0.25">
      <c r="A175" s="1" t="s">
        <v>598</v>
      </c>
      <c r="B175" t="s">
        <v>599</v>
      </c>
      <c r="C175" t="s">
        <v>600</v>
      </c>
      <c r="D175" t="s">
        <v>601</v>
      </c>
      <c r="E175" t="s">
        <v>602</v>
      </c>
      <c r="F175">
        <v>259.82</v>
      </c>
      <c r="G175" t="s">
        <v>18</v>
      </c>
      <c r="J175" t="s">
        <v>35</v>
      </c>
    </row>
    <row r="176" spans="1:12" x14ac:dyDescent="0.25">
      <c r="A176" s="1" t="s">
        <v>603</v>
      </c>
      <c r="B176" t="s">
        <v>604</v>
      </c>
      <c r="C176" t="s">
        <v>603</v>
      </c>
      <c r="D176" t="s">
        <v>605</v>
      </c>
      <c r="E176" t="s">
        <v>606</v>
      </c>
      <c r="F176">
        <v>18.02</v>
      </c>
      <c r="G176" t="s">
        <v>18</v>
      </c>
      <c r="J176" t="s">
        <v>603</v>
      </c>
    </row>
    <row r="177" spans="1:12" x14ac:dyDescent="0.25">
      <c r="A177" s="1" t="s">
        <v>607</v>
      </c>
      <c r="B177" t="s">
        <v>608</v>
      </c>
      <c r="C177" t="s">
        <v>607</v>
      </c>
      <c r="D177" t="s">
        <v>609</v>
      </c>
      <c r="E177" t="s">
        <v>610</v>
      </c>
      <c r="F177">
        <v>34.020000000000003</v>
      </c>
      <c r="G177" t="s">
        <v>18</v>
      </c>
      <c r="J177" t="s">
        <v>607</v>
      </c>
    </row>
    <row r="178" spans="1:12" x14ac:dyDescent="0.25">
      <c r="A178" s="1" t="s">
        <v>611</v>
      </c>
      <c r="B178" t="s">
        <v>612</v>
      </c>
      <c r="C178" t="s">
        <v>613</v>
      </c>
      <c r="D178" t="s">
        <v>614</v>
      </c>
      <c r="E178" t="s">
        <v>615</v>
      </c>
      <c r="F178">
        <v>74.08</v>
      </c>
      <c r="G178" t="s">
        <v>18</v>
      </c>
      <c r="J178" t="s">
        <v>616</v>
      </c>
      <c r="K178" t="s">
        <v>611</v>
      </c>
      <c r="L178" t="s">
        <v>611</v>
      </c>
    </row>
    <row r="179" spans="1:12" x14ac:dyDescent="0.25">
      <c r="A179" s="1" t="s">
        <v>617</v>
      </c>
      <c r="B179" t="s">
        <v>618</v>
      </c>
      <c r="C179" t="s">
        <v>617</v>
      </c>
      <c r="D179" t="s">
        <v>165</v>
      </c>
      <c r="E179" t="s">
        <v>619</v>
      </c>
      <c r="F179">
        <v>80.91</v>
      </c>
      <c r="G179" t="s">
        <v>18</v>
      </c>
    </row>
    <row r="180" spans="1:12" x14ac:dyDescent="0.25">
      <c r="A180" s="1" t="s">
        <v>620</v>
      </c>
      <c r="B180" t="s">
        <v>621</v>
      </c>
      <c r="D180" t="s">
        <v>35</v>
      </c>
      <c r="F180">
        <v>187</v>
      </c>
      <c r="G180" t="s">
        <v>18</v>
      </c>
      <c r="H180" t="s">
        <v>470</v>
      </c>
    </row>
    <row r="181" spans="1:12" x14ac:dyDescent="0.25">
      <c r="A181" s="1" t="s">
        <v>622</v>
      </c>
      <c r="B181" t="s">
        <v>623</v>
      </c>
      <c r="C181" t="s">
        <v>624</v>
      </c>
      <c r="D181" t="s">
        <v>35</v>
      </c>
      <c r="G181" t="s">
        <v>18</v>
      </c>
      <c r="H181" t="s">
        <v>479</v>
      </c>
    </row>
    <row r="182" spans="1:12" x14ac:dyDescent="0.25">
      <c r="A182" s="1" t="s">
        <v>625</v>
      </c>
      <c r="B182" t="s">
        <v>626</v>
      </c>
      <c r="C182" t="s">
        <v>627</v>
      </c>
      <c r="D182" t="s">
        <v>35</v>
      </c>
      <c r="E182" t="s">
        <v>628</v>
      </c>
      <c r="F182">
        <v>100.13</v>
      </c>
      <c r="G182" t="s">
        <v>18</v>
      </c>
      <c r="J182" t="s">
        <v>629</v>
      </c>
      <c r="K182" t="s">
        <v>630</v>
      </c>
      <c r="L182" t="s">
        <v>631</v>
      </c>
    </row>
    <row r="183" spans="1:12" x14ac:dyDescent="0.25">
      <c r="A183" s="1" t="s">
        <v>632</v>
      </c>
      <c r="B183" t="s">
        <v>633</v>
      </c>
      <c r="D183" t="s">
        <v>35</v>
      </c>
      <c r="G183" t="s">
        <v>18</v>
      </c>
      <c r="H183" t="s">
        <v>479</v>
      </c>
    </row>
    <row r="184" spans="1:12" x14ac:dyDescent="0.25">
      <c r="A184" s="1" t="s">
        <v>634</v>
      </c>
      <c r="B184" t="s">
        <v>635</v>
      </c>
      <c r="C184" t="s">
        <v>636</v>
      </c>
      <c r="D184" t="s">
        <v>637</v>
      </c>
      <c r="E184" t="s">
        <v>638</v>
      </c>
      <c r="F184">
        <v>152.93</v>
      </c>
      <c r="G184" t="s">
        <v>18</v>
      </c>
    </row>
    <row r="185" spans="1:12" x14ac:dyDescent="0.25">
      <c r="A185" s="1" t="s">
        <v>639</v>
      </c>
      <c r="B185" t="s">
        <v>640</v>
      </c>
      <c r="C185" t="s">
        <v>641</v>
      </c>
      <c r="D185" t="s">
        <v>642</v>
      </c>
      <c r="E185" t="s">
        <v>643</v>
      </c>
      <c r="F185">
        <v>116.94</v>
      </c>
      <c r="G185" t="s">
        <v>18</v>
      </c>
    </row>
    <row r="186" spans="1:12" x14ac:dyDescent="0.25">
      <c r="A186" s="1" t="s">
        <v>644</v>
      </c>
      <c r="B186" t="s">
        <v>645</v>
      </c>
      <c r="C186" t="s">
        <v>646</v>
      </c>
      <c r="D186" t="s">
        <v>647</v>
      </c>
      <c r="E186" t="s">
        <v>648</v>
      </c>
      <c r="F186">
        <v>100.5</v>
      </c>
      <c r="G186" t="s">
        <v>18</v>
      </c>
    </row>
    <row r="187" spans="1:12" x14ac:dyDescent="0.25">
      <c r="A187" s="1" t="s">
        <v>649</v>
      </c>
      <c r="B187" t="s">
        <v>650</v>
      </c>
      <c r="C187" t="s">
        <v>651</v>
      </c>
      <c r="D187" t="s">
        <v>652</v>
      </c>
      <c r="E187" t="s">
        <v>653</v>
      </c>
      <c r="F187">
        <v>86.47</v>
      </c>
      <c r="G187" t="s">
        <v>18</v>
      </c>
    </row>
    <row r="188" spans="1:12" x14ac:dyDescent="0.25">
      <c r="A188" s="1" t="s">
        <v>654</v>
      </c>
      <c r="B188" t="s">
        <v>655</v>
      </c>
      <c r="C188" t="s">
        <v>656</v>
      </c>
      <c r="D188" t="s">
        <v>657</v>
      </c>
      <c r="E188" t="s">
        <v>658</v>
      </c>
      <c r="F188">
        <v>46.03</v>
      </c>
      <c r="G188" t="s">
        <v>18</v>
      </c>
      <c r="J188" t="s">
        <v>654</v>
      </c>
      <c r="K188" t="s">
        <v>654</v>
      </c>
      <c r="L188" t="s">
        <v>654</v>
      </c>
    </row>
    <row r="189" spans="1:12" x14ac:dyDescent="0.25">
      <c r="A189" s="1" t="s">
        <v>659</v>
      </c>
      <c r="B189" t="s">
        <v>660</v>
      </c>
      <c r="C189" t="s">
        <v>659</v>
      </c>
      <c r="D189" t="s">
        <v>438</v>
      </c>
      <c r="E189" t="s">
        <v>661</v>
      </c>
      <c r="F189">
        <v>36.450000000000003</v>
      </c>
      <c r="G189" t="s">
        <v>18</v>
      </c>
    </row>
    <row r="190" spans="1:12" x14ac:dyDescent="0.25">
      <c r="A190" s="1" t="s">
        <v>662</v>
      </c>
      <c r="B190" t="s">
        <v>663</v>
      </c>
      <c r="C190" t="s">
        <v>662</v>
      </c>
      <c r="D190" t="s">
        <v>34</v>
      </c>
      <c r="E190" t="s">
        <v>664</v>
      </c>
      <c r="F190">
        <v>127.91</v>
      </c>
      <c r="G190" t="s">
        <v>18</v>
      </c>
    </row>
    <row r="191" spans="1:12" x14ac:dyDescent="0.25">
      <c r="A191" s="1" t="s">
        <v>665</v>
      </c>
      <c r="B191" t="s">
        <v>666</v>
      </c>
      <c r="C191" t="s">
        <v>667</v>
      </c>
      <c r="D191" t="s">
        <v>668</v>
      </c>
      <c r="E191" t="s">
        <v>669</v>
      </c>
      <c r="F191">
        <v>64.05</v>
      </c>
      <c r="G191" t="s">
        <v>18</v>
      </c>
      <c r="J191" t="s">
        <v>35</v>
      </c>
      <c r="K191" t="s">
        <v>665</v>
      </c>
      <c r="L191" t="s">
        <v>665</v>
      </c>
    </row>
    <row r="192" spans="1:12" x14ac:dyDescent="0.25">
      <c r="A192" s="1" t="s">
        <v>670</v>
      </c>
      <c r="B192" t="s">
        <v>671</v>
      </c>
      <c r="C192" t="s">
        <v>672</v>
      </c>
      <c r="D192" t="s">
        <v>673</v>
      </c>
      <c r="E192" t="s">
        <v>674</v>
      </c>
      <c r="F192">
        <v>102.1</v>
      </c>
      <c r="G192" t="s">
        <v>18</v>
      </c>
      <c r="J192" t="s">
        <v>675</v>
      </c>
      <c r="K192" t="s">
        <v>670</v>
      </c>
      <c r="L192" t="s">
        <v>670</v>
      </c>
    </row>
    <row r="193" spans="1:13" x14ac:dyDescent="0.25">
      <c r="A193" s="1" t="s">
        <v>676</v>
      </c>
      <c r="B193" t="s">
        <v>677</v>
      </c>
      <c r="C193" t="s">
        <v>678</v>
      </c>
      <c r="D193" t="s">
        <v>35</v>
      </c>
      <c r="F193">
        <v>111.1</v>
      </c>
      <c r="G193" t="s">
        <v>36</v>
      </c>
    </row>
    <row r="194" spans="1:13" x14ac:dyDescent="0.25">
      <c r="A194" s="1" t="s">
        <v>679</v>
      </c>
      <c r="B194" t="s">
        <v>680</v>
      </c>
      <c r="C194" t="s">
        <v>679</v>
      </c>
      <c r="D194" t="s">
        <v>681</v>
      </c>
      <c r="E194" t="s">
        <v>682</v>
      </c>
      <c r="F194">
        <v>47.01</v>
      </c>
      <c r="G194" t="s">
        <v>18</v>
      </c>
    </row>
    <row r="195" spans="1:13" x14ac:dyDescent="0.25">
      <c r="A195" s="1" t="s">
        <v>683</v>
      </c>
      <c r="B195" t="s">
        <v>684</v>
      </c>
      <c r="C195" t="s">
        <v>683</v>
      </c>
      <c r="D195" t="s">
        <v>685</v>
      </c>
      <c r="E195" t="s">
        <v>686</v>
      </c>
      <c r="F195">
        <v>63.01</v>
      </c>
      <c r="G195" t="s">
        <v>18</v>
      </c>
    </row>
    <row r="196" spans="1:13" x14ac:dyDescent="0.25">
      <c r="A196" s="1" t="s">
        <v>687</v>
      </c>
      <c r="B196" t="s">
        <v>688</v>
      </c>
      <c r="C196" t="s">
        <v>687</v>
      </c>
      <c r="D196" t="s">
        <v>689</v>
      </c>
      <c r="E196" t="s">
        <v>690</v>
      </c>
      <c r="F196">
        <v>79.010000000000005</v>
      </c>
      <c r="G196" t="s">
        <v>18</v>
      </c>
    </row>
    <row r="197" spans="1:13" x14ac:dyDescent="0.25">
      <c r="A197" s="1" t="s">
        <v>691</v>
      </c>
      <c r="B197" t="s">
        <v>692</v>
      </c>
      <c r="C197" t="s">
        <v>691</v>
      </c>
      <c r="D197" t="s">
        <v>693</v>
      </c>
      <c r="E197" t="s">
        <v>694</v>
      </c>
      <c r="F197">
        <v>33.01</v>
      </c>
      <c r="G197" t="s">
        <v>18</v>
      </c>
    </row>
    <row r="198" spans="1:13" x14ac:dyDescent="0.25">
      <c r="A198" s="1" t="s">
        <v>695</v>
      </c>
      <c r="B198" t="s">
        <v>696</v>
      </c>
      <c r="C198" t="s">
        <v>695</v>
      </c>
      <c r="D198" t="s">
        <v>697</v>
      </c>
      <c r="E198" t="s">
        <v>698</v>
      </c>
      <c r="F198">
        <v>96.91</v>
      </c>
      <c r="G198" t="s">
        <v>18</v>
      </c>
    </row>
    <row r="199" spans="1:13" x14ac:dyDescent="0.25">
      <c r="A199" s="1" t="s">
        <v>699</v>
      </c>
      <c r="B199" t="s">
        <v>700</v>
      </c>
      <c r="C199" t="s">
        <v>699</v>
      </c>
      <c r="D199" t="s">
        <v>701</v>
      </c>
      <c r="E199" t="s">
        <v>702</v>
      </c>
      <c r="F199">
        <v>52.45</v>
      </c>
      <c r="G199" t="s">
        <v>18</v>
      </c>
    </row>
    <row r="200" spans="1:13" x14ac:dyDescent="0.25">
      <c r="A200" s="1" t="s">
        <v>703</v>
      </c>
      <c r="B200" t="s">
        <v>704</v>
      </c>
      <c r="C200" t="s">
        <v>703</v>
      </c>
      <c r="D200" t="s">
        <v>705</v>
      </c>
      <c r="E200" t="s">
        <v>706</v>
      </c>
      <c r="F200">
        <v>143.88999999999999</v>
      </c>
      <c r="G200" t="s">
        <v>18</v>
      </c>
    </row>
    <row r="201" spans="1:13" s="7" customFormat="1" x14ac:dyDescent="0.25">
      <c r="A201" s="4" t="s">
        <v>707</v>
      </c>
      <c r="B201" s="7" t="s">
        <v>2024</v>
      </c>
      <c r="D201" s="7" t="s">
        <v>35</v>
      </c>
      <c r="F201" s="7">
        <v>215</v>
      </c>
      <c r="G201" s="7" t="s">
        <v>18</v>
      </c>
    </row>
    <row r="202" spans="1:13" x14ac:dyDescent="0.25">
      <c r="A202" s="1" t="s">
        <v>708</v>
      </c>
      <c r="B202" t="s">
        <v>709</v>
      </c>
      <c r="C202" t="s">
        <v>710</v>
      </c>
      <c r="D202" t="s">
        <v>35</v>
      </c>
      <c r="E202" t="s">
        <v>711</v>
      </c>
      <c r="F202">
        <v>116</v>
      </c>
      <c r="G202" t="s">
        <v>18</v>
      </c>
      <c r="H202" t="s">
        <v>470</v>
      </c>
      <c r="J202" t="s">
        <v>712</v>
      </c>
      <c r="K202" t="s">
        <v>713</v>
      </c>
      <c r="M202" t="s">
        <v>714</v>
      </c>
    </row>
    <row r="203" spans="1:13" x14ac:dyDescent="0.25">
      <c r="A203" s="1" t="s">
        <v>715</v>
      </c>
      <c r="B203" t="s">
        <v>716</v>
      </c>
      <c r="C203" t="s">
        <v>710</v>
      </c>
      <c r="D203" t="s">
        <v>717</v>
      </c>
      <c r="E203" t="s">
        <v>718</v>
      </c>
      <c r="F203">
        <v>116.13</v>
      </c>
      <c r="G203" t="s">
        <v>18</v>
      </c>
      <c r="J203" t="s">
        <v>719</v>
      </c>
      <c r="K203" t="s">
        <v>720</v>
      </c>
      <c r="L203" t="s">
        <v>715</v>
      </c>
    </row>
    <row r="204" spans="1:13" x14ac:dyDescent="0.25">
      <c r="A204" s="1" t="s">
        <v>721</v>
      </c>
      <c r="B204" t="s">
        <v>722</v>
      </c>
      <c r="C204" t="s">
        <v>723</v>
      </c>
      <c r="D204" t="s">
        <v>724</v>
      </c>
      <c r="E204" t="s">
        <v>725</v>
      </c>
      <c r="F204">
        <v>147.12</v>
      </c>
      <c r="G204" t="s">
        <v>18</v>
      </c>
      <c r="J204" t="s">
        <v>35</v>
      </c>
      <c r="K204" t="s">
        <v>721</v>
      </c>
      <c r="L204" t="s">
        <v>721</v>
      </c>
    </row>
    <row r="205" spans="1:13" x14ac:dyDescent="0.25">
      <c r="A205" s="1" t="s">
        <v>726</v>
      </c>
      <c r="B205" t="s">
        <v>727</v>
      </c>
      <c r="C205" t="s">
        <v>710</v>
      </c>
      <c r="D205" t="s">
        <v>728</v>
      </c>
      <c r="E205" t="s">
        <v>729</v>
      </c>
      <c r="F205">
        <v>116.13</v>
      </c>
      <c r="G205" t="s">
        <v>18</v>
      </c>
      <c r="J205" t="s">
        <v>730</v>
      </c>
      <c r="K205" t="s">
        <v>731</v>
      </c>
      <c r="L205" t="s">
        <v>726</v>
      </c>
    </row>
    <row r="206" spans="1:13" x14ac:dyDescent="0.25">
      <c r="A206" s="1" t="s">
        <v>732</v>
      </c>
      <c r="B206" t="s">
        <v>733</v>
      </c>
      <c r="C206" t="s">
        <v>723</v>
      </c>
      <c r="D206" t="s">
        <v>734</v>
      </c>
      <c r="E206" t="s">
        <v>735</v>
      </c>
      <c r="F206">
        <v>147.12</v>
      </c>
      <c r="G206" t="s">
        <v>18</v>
      </c>
      <c r="J206" t="s">
        <v>35</v>
      </c>
      <c r="K206" t="s">
        <v>732</v>
      </c>
      <c r="L206" t="s">
        <v>732</v>
      </c>
    </row>
    <row r="207" spans="1:13" x14ac:dyDescent="0.25">
      <c r="A207" s="1" t="s">
        <v>736</v>
      </c>
      <c r="B207" t="s">
        <v>737</v>
      </c>
      <c r="C207" t="s">
        <v>710</v>
      </c>
      <c r="D207" t="s">
        <v>738</v>
      </c>
      <c r="E207" t="s">
        <v>739</v>
      </c>
      <c r="F207">
        <v>116.13</v>
      </c>
      <c r="G207" t="s">
        <v>18</v>
      </c>
      <c r="J207" t="s">
        <v>35</v>
      </c>
      <c r="K207" t="s">
        <v>740</v>
      </c>
      <c r="L207" t="s">
        <v>736</v>
      </c>
    </row>
    <row r="208" spans="1:13" x14ac:dyDescent="0.25">
      <c r="A208" s="1" t="s">
        <v>741</v>
      </c>
      <c r="B208" t="s">
        <v>742</v>
      </c>
      <c r="C208" t="s">
        <v>710</v>
      </c>
      <c r="D208" t="s">
        <v>743</v>
      </c>
      <c r="E208" t="s">
        <v>744</v>
      </c>
      <c r="F208">
        <v>116.13</v>
      </c>
      <c r="G208" t="s">
        <v>18</v>
      </c>
      <c r="J208" t="s">
        <v>35</v>
      </c>
      <c r="K208" t="s">
        <v>745</v>
      </c>
      <c r="L208" t="s">
        <v>741</v>
      </c>
    </row>
    <row r="209" spans="1:12" x14ac:dyDescent="0.25">
      <c r="A209" s="1" t="s">
        <v>746</v>
      </c>
      <c r="B209" t="s">
        <v>746</v>
      </c>
      <c r="C209" t="s">
        <v>747</v>
      </c>
      <c r="D209" t="s">
        <v>748</v>
      </c>
      <c r="E209" t="s">
        <v>749</v>
      </c>
      <c r="F209">
        <v>165</v>
      </c>
      <c r="G209" t="s">
        <v>18</v>
      </c>
      <c r="H209" t="s">
        <v>470</v>
      </c>
      <c r="J209" t="s">
        <v>746</v>
      </c>
    </row>
    <row r="210" spans="1:12" x14ac:dyDescent="0.25">
      <c r="A210" s="1" t="s">
        <v>750</v>
      </c>
      <c r="B210" t="s">
        <v>751</v>
      </c>
      <c r="C210" t="s">
        <v>752</v>
      </c>
      <c r="D210" t="s">
        <v>753</v>
      </c>
      <c r="E210" t="s">
        <v>754</v>
      </c>
      <c r="F210">
        <v>76.06</v>
      </c>
      <c r="G210" t="s">
        <v>18</v>
      </c>
      <c r="J210" t="s">
        <v>755</v>
      </c>
      <c r="K210" t="s">
        <v>750</v>
      </c>
      <c r="L210" t="s">
        <v>750</v>
      </c>
    </row>
    <row r="211" spans="1:12" s="6" customFormat="1" x14ac:dyDescent="0.25">
      <c r="A211" s="5" t="s">
        <v>756</v>
      </c>
      <c r="B211" s="6" t="s">
        <v>757</v>
      </c>
      <c r="C211" s="6" t="s">
        <v>758</v>
      </c>
      <c r="D211" s="6" t="s">
        <v>35</v>
      </c>
      <c r="F211" s="6">
        <v>81.069999999999993</v>
      </c>
      <c r="G211" s="6" t="s">
        <v>18</v>
      </c>
    </row>
    <row r="212" spans="1:12" x14ac:dyDescent="0.25">
      <c r="A212" s="1" t="s">
        <v>759</v>
      </c>
      <c r="B212" t="s">
        <v>760</v>
      </c>
      <c r="C212" t="s">
        <v>761</v>
      </c>
      <c r="D212" t="s">
        <v>762</v>
      </c>
      <c r="E212" t="s">
        <v>763</v>
      </c>
      <c r="F212">
        <v>200.59</v>
      </c>
      <c r="G212" t="s">
        <v>18</v>
      </c>
      <c r="J212" t="s">
        <v>35</v>
      </c>
    </row>
    <row r="213" spans="1:12" x14ac:dyDescent="0.25">
      <c r="A213" s="1" t="s">
        <v>764</v>
      </c>
      <c r="B213" t="s">
        <v>765</v>
      </c>
      <c r="C213" t="s">
        <v>761</v>
      </c>
      <c r="D213" t="s">
        <v>762</v>
      </c>
      <c r="E213" t="s">
        <v>763</v>
      </c>
      <c r="F213">
        <v>201</v>
      </c>
      <c r="G213" t="s">
        <v>18</v>
      </c>
      <c r="J213" t="s">
        <v>35</v>
      </c>
    </row>
    <row r="214" spans="1:12" x14ac:dyDescent="0.25">
      <c r="A214" s="1" t="s">
        <v>766</v>
      </c>
      <c r="B214" t="s">
        <v>767</v>
      </c>
      <c r="C214" t="s">
        <v>761</v>
      </c>
      <c r="D214" t="s">
        <v>762</v>
      </c>
      <c r="E214" t="s">
        <v>763</v>
      </c>
      <c r="F214">
        <v>201</v>
      </c>
      <c r="G214" t="s">
        <v>18</v>
      </c>
      <c r="J214" t="s">
        <v>35</v>
      </c>
    </row>
    <row r="215" spans="1:12" x14ac:dyDescent="0.25">
      <c r="A215" s="1" t="s">
        <v>768</v>
      </c>
      <c r="B215" t="s">
        <v>769</v>
      </c>
      <c r="C215" t="s">
        <v>761</v>
      </c>
      <c r="D215" t="s">
        <v>762</v>
      </c>
      <c r="E215" t="s">
        <v>763</v>
      </c>
      <c r="F215">
        <v>201</v>
      </c>
      <c r="G215" t="s">
        <v>18</v>
      </c>
      <c r="J215" t="s">
        <v>35</v>
      </c>
    </row>
    <row r="216" spans="1:12" x14ac:dyDescent="0.25">
      <c r="A216" s="1" t="s">
        <v>770</v>
      </c>
      <c r="B216" t="s">
        <v>771</v>
      </c>
      <c r="C216" t="s">
        <v>761</v>
      </c>
      <c r="D216" t="s">
        <v>762</v>
      </c>
      <c r="E216" t="s">
        <v>763</v>
      </c>
      <c r="F216">
        <v>201</v>
      </c>
      <c r="G216" t="s">
        <v>18</v>
      </c>
      <c r="J216" t="s">
        <v>35</v>
      </c>
    </row>
    <row r="217" spans="1:12" x14ac:dyDescent="0.25">
      <c r="A217" s="1" t="s">
        <v>772</v>
      </c>
      <c r="B217" t="s">
        <v>773</v>
      </c>
      <c r="C217" t="s">
        <v>761</v>
      </c>
      <c r="D217" t="s">
        <v>762</v>
      </c>
      <c r="E217" t="s">
        <v>763</v>
      </c>
      <c r="F217">
        <v>201</v>
      </c>
      <c r="G217" t="s">
        <v>18</v>
      </c>
      <c r="J217" t="s">
        <v>35</v>
      </c>
    </row>
    <row r="218" spans="1:12" x14ac:dyDescent="0.25">
      <c r="A218" s="1" t="s">
        <v>774</v>
      </c>
      <c r="B218" t="s">
        <v>775</v>
      </c>
      <c r="C218" t="s">
        <v>761</v>
      </c>
      <c r="D218" t="s">
        <v>762</v>
      </c>
      <c r="E218" t="s">
        <v>763</v>
      </c>
      <c r="F218">
        <v>201</v>
      </c>
      <c r="G218" t="s">
        <v>18</v>
      </c>
      <c r="J218" t="s">
        <v>35</v>
      </c>
    </row>
    <row r="219" spans="1:12" x14ac:dyDescent="0.25">
      <c r="A219" s="1" t="s">
        <v>776</v>
      </c>
      <c r="B219" t="s">
        <v>777</v>
      </c>
      <c r="C219" t="s">
        <v>761</v>
      </c>
      <c r="D219" t="s">
        <v>762</v>
      </c>
      <c r="E219" t="s">
        <v>763</v>
      </c>
      <c r="F219">
        <v>201</v>
      </c>
      <c r="G219" t="s">
        <v>18</v>
      </c>
      <c r="J219" t="s">
        <v>35</v>
      </c>
    </row>
    <row r="220" spans="1:12" x14ac:dyDescent="0.25">
      <c r="A220" s="1" t="s">
        <v>778</v>
      </c>
      <c r="B220" t="s">
        <v>779</v>
      </c>
      <c r="C220" t="s">
        <v>761</v>
      </c>
      <c r="D220" t="s">
        <v>762</v>
      </c>
      <c r="E220" t="s">
        <v>763</v>
      </c>
      <c r="F220">
        <v>201</v>
      </c>
      <c r="G220" t="s">
        <v>18</v>
      </c>
      <c r="J220" t="s">
        <v>35</v>
      </c>
    </row>
    <row r="221" spans="1:12" x14ac:dyDescent="0.25">
      <c r="A221" s="1" t="s">
        <v>780</v>
      </c>
      <c r="B221" t="s">
        <v>781</v>
      </c>
      <c r="C221" t="s">
        <v>761</v>
      </c>
      <c r="D221" t="s">
        <v>762</v>
      </c>
      <c r="E221" t="s">
        <v>763</v>
      </c>
      <c r="F221">
        <v>201</v>
      </c>
      <c r="G221" t="s">
        <v>18</v>
      </c>
      <c r="J221" t="s">
        <v>35</v>
      </c>
    </row>
    <row r="222" spans="1:12" x14ac:dyDescent="0.25">
      <c r="A222" s="1" t="s">
        <v>782</v>
      </c>
      <c r="B222" t="s">
        <v>783</v>
      </c>
      <c r="C222" t="s">
        <v>761</v>
      </c>
      <c r="D222" t="s">
        <v>762</v>
      </c>
      <c r="E222" t="s">
        <v>763</v>
      </c>
      <c r="F222">
        <v>201</v>
      </c>
      <c r="G222" t="s">
        <v>18</v>
      </c>
      <c r="J222" t="s">
        <v>35</v>
      </c>
    </row>
    <row r="223" spans="1:12" x14ac:dyDescent="0.25">
      <c r="A223" s="1" t="s">
        <v>784</v>
      </c>
      <c r="B223" t="s">
        <v>785</v>
      </c>
      <c r="C223" t="s">
        <v>761</v>
      </c>
      <c r="D223" t="s">
        <v>762</v>
      </c>
      <c r="E223" t="s">
        <v>763</v>
      </c>
      <c r="F223">
        <v>201</v>
      </c>
      <c r="G223" t="s">
        <v>18</v>
      </c>
      <c r="J223" t="s">
        <v>35</v>
      </c>
    </row>
    <row r="224" spans="1:12" x14ac:dyDescent="0.25">
      <c r="A224" s="1" t="s">
        <v>786</v>
      </c>
      <c r="B224" t="s">
        <v>787</v>
      </c>
      <c r="C224" t="s">
        <v>761</v>
      </c>
      <c r="D224" t="s">
        <v>762</v>
      </c>
      <c r="E224" t="s">
        <v>763</v>
      </c>
      <c r="F224">
        <v>201</v>
      </c>
      <c r="G224" t="s">
        <v>18</v>
      </c>
      <c r="J224" t="s">
        <v>35</v>
      </c>
    </row>
    <row r="225" spans="1:10" x14ac:dyDescent="0.25">
      <c r="A225" s="1" t="s">
        <v>788</v>
      </c>
      <c r="B225" t="s">
        <v>789</v>
      </c>
      <c r="C225" t="s">
        <v>761</v>
      </c>
      <c r="D225" t="s">
        <v>762</v>
      </c>
      <c r="E225" t="s">
        <v>763</v>
      </c>
      <c r="F225">
        <v>201</v>
      </c>
      <c r="G225" t="s">
        <v>18</v>
      </c>
      <c r="J225" t="s">
        <v>35</v>
      </c>
    </row>
    <row r="226" spans="1:10" x14ac:dyDescent="0.25">
      <c r="A226" s="1" t="s">
        <v>790</v>
      </c>
      <c r="B226" t="s">
        <v>791</v>
      </c>
      <c r="C226" t="s">
        <v>761</v>
      </c>
      <c r="D226" t="s">
        <v>762</v>
      </c>
      <c r="E226" t="s">
        <v>763</v>
      </c>
      <c r="F226">
        <v>201</v>
      </c>
      <c r="G226" t="s">
        <v>18</v>
      </c>
      <c r="J226" t="s">
        <v>35</v>
      </c>
    </row>
    <row r="227" spans="1:10" x14ac:dyDescent="0.25">
      <c r="A227" s="1" t="s">
        <v>792</v>
      </c>
      <c r="B227" t="s">
        <v>793</v>
      </c>
      <c r="C227" t="s">
        <v>761</v>
      </c>
      <c r="D227" t="s">
        <v>762</v>
      </c>
      <c r="E227" t="s">
        <v>763</v>
      </c>
      <c r="F227">
        <v>201</v>
      </c>
      <c r="G227" t="s">
        <v>18</v>
      </c>
      <c r="J227" t="s">
        <v>35</v>
      </c>
    </row>
    <row r="228" spans="1:10" x14ac:dyDescent="0.25">
      <c r="A228" s="1" t="s">
        <v>794</v>
      </c>
      <c r="B228" t="s">
        <v>795</v>
      </c>
      <c r="C228" t="s">
        <v>761</v>
      </c>
      <c r="D228" t="s">
        <v>762</v>
      </c>
      <c r="E228" t="s">
        <v>763</v>
      </c>
      <c r="F228">
        <v>201</v>
      </c>
      <c r="G228" t="s">
        <v>18</v>
      </c>
      <c r="J228" t="s">
        <v>35</v>
      </c>
    </row>
    <row r="229" spans="1:10" x14ac:dyDescent="0.25">
      <c r="A229" s="1" t="s">
        <v>796</v>
      </c>
      <c r="B229" t="s">
        <v>797</v>
      </c>
      <c r="C229" t="s">
        <v>761</v>
      </c>
      <c r="D229" t="s">
        <v>762</v>
      </c>
      <c r="E229" t="s">
        <v>763</v>
      </c>
      <c r="F229">
        <v>201</v>
      </c>
      <c r="G229" t="s">
        <v>18</v>
      </c>
      <c r="J229" t="s">
        <v>35</v>
      </c>
    </row>
    <row r="230" spans="1:10" x14ac:dyDescent="0.25">
      <c r="A230" s="1" t="s">
        <v>798</v>
      </c>
      <c r="B230" t="s">
        <v>799</v>
      </c>
      <c r="C230" t="s">
        <v>761</v>
      </c>
      <c r="D230" t="s">
        <v>762</v>
      </c>
      <c r="E230" t="s">
        <v>763</v>
      </c>
      <c r="F230">
        <v>201</v>
      </c>
      <c r="G230" t="s">
        <v>18</v>
      </c>
      <c r="J230" t="s">
        <v>35</v>
      </c>
    </row>
    <row r="231" spans="1:10" x14ac:dyDescent="0.25">
      <c r="A231" s="1" t="s">
        <v>800</v>
      </c>
      <c r="B231" t="s">
        <v>801</v>
      </c>
      <c r="C231" t="s">
        <v>761</v>
      </c>
      <c r="D231" t="s">
        <v>762</v>
      </c>
      <c r="E231" t="s">
        <v>763</v>
      </c>
      <c r="F231">
        <v>201</v>
      </c>
      <c r="G231" t="s">
        <v>18</v>
      </c>
      <c r="J231" t="s">
        <v>35</v>
      </c>
    </row>
    <row r="232" spans="1:10" x14ac:dyDescent="0.25">
      <c r="A232" s="1" t="s">
        <v>802</v>
      </c>
      <c r="B232" t="s">
        <v>803</v>
      </c>
      <c r="C232" t="s">
        <v>761</v>
      </c>
      <c r="D232" t="s">
        <v>762</v>
      </c>
      <c r="E232" t="s">
        <v>763</v>
      </c>
      <c r="F232">
        <v>201</v>
      </c>
      <c r="G232" t="s">
        <v>18</v>
      </c>
      <c r="J232" t="s">
        <v>35</v>
      </c>
    </row>
    <row r="233" spans="1:10" x14ac:dyDescent="0.25">
      <c r="A233" s="1" t="s">
        <v>804</v>
      </c>
      <c r="B233" t="s">
        <v>805</v>
      </c>
      <c r="C233" t="s">
        <v>761</v>
      </c>
      <c r="D233" t="s">
        <v>762</v>
      </c>
      <c r="E233" t="s">
        <v>763</v>
      </c>
      <c r="F233">
        <v>201</v>
      </c>
      <c r="G233" t="s">
        <v>18</v>
      </c>
      <c r="J233" t="s">
        <v>35</v>
      </c>
    </row>
    <row r="234" spans="1:10" x14ac:dyDescent="0.25">
      <c r="A234" s="1" t="s">
        <v>806</v>
      </c>
      <c r="B234" t="s">
        <v>807</v>
      </c>
      <c r="C234" t="s">
        <v>761</v>
      </c>
      <c r="D234" t="s">
        <v>762</v>
      </c>
      <c r="E234" t="s">
        <v>763</v>
      </c>
      <c r="F234">
        <v>201</v>
      </c>
      <c r="G234" t="s">
        <v>18</v>
      </c>
      <c r="J234" t="s">
        <v>35</v>
      </c>
    </row>
    <row r="235" spans="1:10" x14ac:dyDescent="0.25">
      <c r="A235" s="1" t="s">
        <v>808</v>
      </c>
      <c r="B235" t="s">
        <v>809</v>
      </c>
      <c r="C235" t="s">
        <v>761</v>
      </c>
      <c r="D235" t="s">
        <v>762</v>
      </c>
      <c r="E235" t="s">
        <v>763</v>
      </c>
      <c r="F235">
        <v>201</v>
      </c>
      <c r="G235" t="s">
        <v>18</v>
      </c>
      <c r="J235" t="s">
        <v>35</v>
      </c>
    </row>
    <row r="236" spans="1:10" x14ac:dyDescent="0.25">
      <c r="A236" s="1" t="s">
        <v>810</v>
      </c>
      <c r="B236" t="s">
        <v>811</v>
      </c>
      <c r="C236" t="s">
        <v>761</v>
      </c>
      <c r="D236" t="s">
        <v>762</v>
      </c>
      <c r="E236" t="s">
        <v>763</v>
      </c>
      <c r="F236">
        <v>201</v>
      </c>
      <c r="G236" t="s">
        <v>18</v>
      </c>
      <c r="J236" t="s">
        <v>35</v>
      </c>
    </row>
    <row r="237" spans="1:10" x14ac:dyDescent="0.25">
      <c r="A237" s="1" t="s">
        <v>812</v>
      </c>
      <c r="B237" t="s">
        <v>813</v>
      </c>
      <c r="C237" t="s">
        <v>761</v>
      </c>
      <c r="D237" t="s">
        <v>762</v>
      </c>
      <c r="E237" t="s">
        <v>763</v>
      </c>
      <c r="F237">
        <v>201</v>
      </c>
      <c r="G237" t="s">
        <v>18</v>
      </c>
      <c r="J237" t="s">
        <v>35</v>
      </c>
    </row>
    <row r="238" spans="1:10" x14ac:dyDescent="0.25">
      <c r="A238" s="1" t="s">
        <v>814</v>
      </c>
      <c r="B238" t="s">
        <v>815</v>
      </c>
      <c r="C238" t="s">
        <v>761</v>
      </c>
      <c r="D238" t="s">
        <v>762</v>
      </c>
      <c r="E238" t="s">
        <v>763</v>
      </c>
      <c r="F238">
        <v>201</v>
      </c>
      <c r="G238" t="s">
        <v>18</v>
      </c>
      <c r="J238" t="s">
        <v>35</v>
      </c>
    </row>
    <row r="239" spans="1:10" x14ac:dyDescent="0.25">
      <c r="A239" s="1" t="s">
        <v>816</v>
      </c>
      <c r="B239" t="s">
        <v>817</v>
      </c>
      <c r="C239" t="s">
        <v>761</v>
      </c>
      <c r="D239" t="s">
        <v>762</v>
      </c>
      <c r="E239" t="s">
        <v>763</v>
      </c>
      <c r="F239">
        <v>201</v>
      </c>
      <c r="G239" t="s">
        <v>18</v>
      </c>
      <c r="J239" t="s">
        <v>35</v>
      </c>
    </row>
    <row r="240" spans="1:10" x14ac:dyDescent="0.25">
      <c r="A240" s="1" t="s">
        <v>818</v>
      </c>
      <c r="B240" t="s">
        <v>819</v>
      </c>
      <c r="C240" t="s">
        <v>761</v>
      </c>
      <c r="D240" t="s">
        <v>820</v>
      </c>
      <c r="E240" t="s">
        <v>821</v>
      </c>
      <c r="F240">
        <v>200.59</v>
      </c>
      <c r="G240" t="s">
        <v>18</v>
      </c>
      <c r="J240" t="s">
        <v>35</v>
      </c>
    </row>
    <row r="241" spans="1:10" x14ac:dyDescent="0.25">
      <c r="A241" s="1" t="s">
        <v>822</v>
      </c>
      <c r="B241" t="s">
        <v>823</v>
      </c>
      <c r="C241" t="s">
        <v>761</v>
      </c>
      <c r="D241" t="s">
        <v>820</v>
      </c>
      <c r="E241" t="s">
        <v>821</v>
      </c>
      <c r="F241">
        <v>201</v>
      </c>
      <c r="G241" t="s">
        <v>18</v>
      </c>
      <c r="J241" t="s">
        <v>35</v>
      </c>
    </row>
    <row r="242" spans="1:10" x14ac:dyDescent="0.25">
      <c r="A242" s="1" t="s">
        <v>824</v>
      </c>
      <c r="B242" t="s">
        <v>825</v>
      </c>
      <c r="C242" t="s">
        <v>761</v>
      </c>
      <c r="D242" t="s">
        <v>820</v>
      </c>
      <c r="E242" t="s">
        <v>821</v>
      </c>
      <c r="F242">
        <v>201</v>
      </c>
      <c r="G242" t="s">
        <v>18</v>
      </c>
      <c r="J242" t="s">
        <v>35</v>
      </c>
    </row>
    <row r="243" spans="1:10" x14ac:dyDescent="0.25">
      <c r="A243" s="1" t="s">
        <v>826</v>
      </c>
      <c r="B243" t="s">
        <v>827</v>
      </c>
      <c r="C243" t="s">
        <v>761</v>
      </c>
      <c r="D243" t="s">
        <v>820</v>
      </c>
      <c r="E243" t="s">
        <v>821</v>
      </c>
      <c r="F243">
        <v>201</v>
      </c>
      <c r="G243" t="s">
        <v>18</v>
      </c>
      <c r="J243" t="s">
        <v>35</v>
      </c>
    </row>
    <row r="244" spans="1:10" x14ac:dyDescent="0.25">
      <c r="A244" s="1" t="s">
        <v>828</v>
      </c>
      <c r="B244" t="s">
        <v>829</v>
      </c>
      <c r="C244" t="s">
        <v>761</v>
      </c>
      <c r="D244" t="s">
        <v>820</v>
      </c>
      <c r="E244" t="s">
        <v>821</v>
      </c>
      <c r="F244">
        <v>201</v>
      </c>
      <c r="G244" t="s">
        <v>18</v>
      </c>
      <c r="J244" t="s">
        <v>35</v>
      </c>
    </row>
    <row r="245" spans="1:10" x14ac:dyDescent="0.25">
      <c r="A245" s="1" t="s">
        <v>830</v>
      </c>
      <c r="B245" t="s">
        <v>831</v>
      </c>
      <c r="C245" t="s">
        <v>761</v>
      </c>
      <c r="D245" t="s">
        <v>820</v>
      </c>
      <c r="E245" t="s">
        <v>821</v>
      </c>
      <c r="F245">
        <v>201</v>
      </c>
      <c r="G245" t="s">
        <v>18</v>
      </c>
      <c r="J245" t="s">
        <v>35</v>
      </c>
    </row>
    <row r="246" spans="1:10" x14ac:dyDescent="0.25">
      <c r="A246" s="1" t="s">
        <v>832</v>
      </c>
      <c r="B246" t="s">
        <v>833</v>
      </c>
      <c r="C246" t="s">
        <v>761</v>
      </c>
      <c r="D246" t="s">
        <v>820</v>
      </c>
      <c r="E246" t="s">
        <v>821</v>
      </c>
      <c r="F246">
        <v>201</v>
      </c>
      <c r="G246" t="s">
        <v>18</v>
      </c>
      <c r="J246" t="s">
        <v>35</v>
      </c>
    </row>
    <row r="247" spans="1:10" x14ac:dyDescent="0.25">
      <c r="A247" s="1" t="s">
        <v>834</v>
      </c>
      <c r="B247" t="s">
        <v>835</v>
      </c>
      <c r="C247" t="s">
        <v>761</v>
      </c>
      <c r="D247" t="s">
        <v>820</v>
      </c>
      <c r="E247" t="s">
        <v>821</v>
      </c>
      <c r="F247">
        <v>201</v>
      </c>
      <c r="G247" t="s">
        <v>18</v>
      </c>
      <c r="J247" t="s">
        <v>35</v>
      </c>
    </row>
    <row r="248" spans="1:10" x14ac:dyDescent="0.25">
      <c r="A248" s="1" t="s">
        <v>836</v>
      </c>
      <c r="B248" t="s">
        <v>837</v>
      </c>
      <c r="C248" t="s">
        <v>761</v>
      </c>
      <c r="D248" t="s">
        <v>820</v>
      </c>
      <c r="E248" t="s">
        <v>821</v>
      </c>
      <c r="F248">
        <v>201</v>
      </c>
      <c r="G248" t="s">
        <v>18</v>
      </c>
      <c r="J248" t="s">
        <v>35</v>
      </c>
    </row>
    <row r="249" spans="1:10" x14ac:dyDescent="0.25">
      <c r="A249" s="1" t="s">
        <v>838</v>
      </c>
      <c r="B249" t="s">
        <v>839</v>
      </c>
      <c r="C249" t="s">
        <v>761</v>
      </c>
      <c r="D249" t="s">
        <v>820</v>
      </c>
      <c r="E249" t="s">
        <v>821</v>
      </c>
      <c r="F249">
        <v>201</v>
      </c>
      <c r="G249" t="s">
        <v>18</v>
      </c>
      <c r="J249" t="s">
        <v>35</v>
      </c>
    </row>
    <row r="250" spans="1:10" x14ac:dyDescent="0.25">
      <c r="A250" s="1" t="s">
        <v>840</v>
      </c>
      <c r="B250" t="s">
        <v>841</v>
      </c>
      <c r="C250" t="s">
        <v>761</v>
      </c>
      <c r="D250" t="s">
        <v>820</v>
      </c>
      <c r="E250" t="s">
        <v>821</v>
      </c>
      <c r="F250">
        <v>201</v>
      </c>
      <c r="G250" t="s">
        <v>18</v>
      </c>
      <c r="J250" t="s">
        <v>35</v>
      </c>
    </row>
    <row r="251" spans="1:10" x14ac:dyDescent="0.25">
      <c r="A251" s="1" t="s">
        <v>842</v>
      </c>
      <c r="B251" t="s">
        <v>843</v>
      </c>
      <c r="C251" t="s">
        <v>761</v>
      </c>
      <c r="D251" t="s">
        <v>820</v>
      </c>
      <c r="E251" t="s">
        <v>821</v>
      </c>
      <c r="F251">
        <v>201</v>
      </c>
      <c r="G251" t="s">
        <v>18</v>
      </c>
      <c r="J251" t="s">
        <v>35</v>
      </c>
    </row>
    <row r="252" spans="1:10" x14ac:dyDescent="0.25">
      <c r="A252" s="1" t="s">
        <v>844</v>
      </c>
      <c r="B252" t="s">
        <v>845</v>
      </c>
      <c r="C252" t="s">
        <v>761</v>
      </c>
      <c r="D252" t="s">
        <v>820</v>
      </c>
      <c r="E252" t="s">
        <v>821</v>
      </c>
      <c r="F252">
        <v>201</v>
      </c>
      <c r="G252" t="s">
        <v>18</v>
      </c>
      <c r="J252" t="s">
        <v>35</v>
      </c>
    </row>
    <row r="253" spans="1:10" x14ac:dyDescent="0.25">
      <c r="A253" s="1" t="s">
        <v>846</v>
      </c>
      <c r="B253" t="s">
        <v>847</v>
      </c>
      <c r="C253" t="s">
        <v>761</v>
      </c>
      <c r="D253" t="s">
        <v>820</v>
      </c>
      <c r="E253" t="s">
        <v>821</v>
      </c>
      <c r="F253">
        <v>201</v>
      </c>
      <c r="G253" t="s">
        <v>18</v>
      </c>
      <c r="J253" t="s">
        <v>35</v>
      </c>
    </row>
    <row r="254" spans="1:10" x14ac:dyDescent="0.25">
      <c r="A254" s="1" t="s">
        <v>848</v>
      </c>
      <c r="B254" t="s">
        <v>849</v>
      </c>
      <c r="C254" t="s">
        <v>761</v>
      </c>
      <c r="D254" t="s">
        <v>820</v>
      </c>
      <c r="E254" t="s">
        <v>821</v>
      </c>
      <c r="F254">
        <v>201</v>
      </c>
      <c r="G254" t="s">
        <v>18</v>
      </c>
      <c r="J254" t="s">
        <v>35</v>
      </c>
    </row>
    <row r="255" spans="1:10" x14ac:dyDescent="0.25">
      <c r="A255" s="1" t="s">
        <v>850</v>
      </c>
      <c r="B255" t="s">
        <v>851</v>
      </c>
      <c r="C255" t="s">
        <v>761</v>
      </c>
      <c r="D255" t="s">
        <v>820</v>
      </c>
      <c r="E255" t="s">
        <v>821</v>
      </c>
      <c r="F255">
        <v>201</v>
      </c>
      <c r="G255" t="s">
        <v>18</v>
      </c>
      <c r="J255" t="s">
        <v>35</v>
      </c>
    </row>
    <row r="256" spans="1:10" x14ac:dyDescent="0.25">
      <c r="A256" s="1" t="s">
        <v>852</v>
      </c>
      <c r="B256" t="s">
        <v>853</v>
      </c>
      <c r="C256" t="s">
        <v>761</v>
      </c>
      <c r="D256" t="s">
        <v>820</v>
      </c>
      <c r="E256" t="s">
        <v>821</v>
      </c>
      <c r="F256">
        <v>201</v>
      </c>
      <c r="G256" t="s">
        <v>18</v>
      </c>
      <c r="J256" t="s">
        <v>35</v>
      </c>
    </row>
    <row r="257" spans="1:10" x14ac:dyDescent="0.25">
      <c r="A257" s="1" t="s">
        <v>854</v>
      </c>
      <c r="B257" t="s">
        <v>855</v>
      </c>
      <c r="C257" t="s">
        <v>761</v>
      </c>
      <c r="D257" t="s">
        <v>820</v>
      </c>
      <c r="E257" t="s">
        <v>821</v>
      </c>
      <c r="F257">
        <v>201</v>
      </c>
      <c r="G257" t="s">
        <v>18</v>
      </c>
      <c r="J257" t="s">
        <v>35</v>
      </c>
    </row>
    <row r="258" spans="1:10" x14ac:dyDescent="0.25">
      <c r="A258" s="1" t="s">
        <v>856</v>
      </c>
      <c r="B258" t="s">
        <v>857</v>
      </c>
      <c r="C258" t="s">
        <v>761</v>
      </c>
      <c r="D258" t="s">
        <v>820</v>
      </c>
      <c r="E258" t="s">
        <v>821</v>
      </c>
      <c r="F258">
        <v>201</v>
      </c>
      <c r="G258" t="s">
        <v>18</v>
      </c>
      <c r="J258" t="s">
        <v>35</v>
      </c>
    </row>
    <row r="259" spans="1:10" x14ac:dyDescent="0.25">
      <c r="A259" s="1" t="s">
        <v>858</v>
      </c>
      <c r="B259" t="s">
        <v>859</v>
      </c>
      <c r="C259" t="s">
        <v>761</v>
      </c>
      <c r="D259" t="s">
        <v>820</v>
      </c>
      <c r="E259" t="s">
        <v>821</v>
      </c>
      <c r="F259">
        <v>201</v>
      </c>
      <c r="G259" t="s">
        <v>18</v>
      </c>
      <c r="J259" t="s">
        <v>35</v>
      </c>
    </row>
    <row r="260" spans="1:10" x14ac:dyDescent="0.25">
      <c r="A260" s="1" t="s">
        <v>860</v>
      </c>
      <c r="B260" t="s">
        <v>861</v>
      </c>
      <c r="C260" t="s">
        <v>761</v>
      </c>
      <c r="D260" t="s">
        <v>820</v>
      </c>
      <c r="E260" t="s">
        <v>821</v>
      </c>
      <c r="F260">
        <v>201</v>
      </c>
      <c r="G260" t="s">
        <v>18</v>
      </c>
      <c r="J260" t="s">
        <v>35</v>
      </c>
    </row>
    <row r="261" spans="1:10" x14ac:dyDescent="0.25">
      <c r="A261" s="1" t="s">
        <v>862</v>
      </c>
      <c r="B261" t="s">
        <v>863</v>
      </c>
      <c r="C261" t="s">
        <v>761</v>
      </c>
      <c r="D261" t="s">
        <v>820</v>
      </c>
      <c r="E261" t="s">
        <v>821</v>
      </c>
      <c r="F261">
        <v>201</v>
      </c>
      <c r="G261" t="s">
        <v>18</v>
      </c>
      <c r="J261" t="s">
        <v>35</v>
      </c>
    </row>
    <row r="262" spans="1:10" x14ac:dyDescent="0.25">
      <c r="A262" s="1" t="s">
        <v>864</v>
      </c>
      <c r="B262" t="s">
        <v>865</v>
      </c>
      <c r="C262" t="s">
        <v>761</v>
      </c>
      <c r="D262" t="s">
        <v>820</v>
      </c>
      <c r="E262" t="s">
        <v>821</v>
      </c>
      <c r="F262">
        <v>201</v>
      </c>
      <c r="G262" t="s">
        <v>18</v>
      </c>
      <c r="J262" t="s">
        <v>35</v>
      </c>
    </row>
    <row r="263" spans="1:10" x14ac:dyDescent="0.25">
      <c r="A263" s="1" t="s">
        <v>866</v>
      </c>
      <c r="B263" t="s">
        <v>867</v>
      </c>
      <c r="C263" t="s">
        <v>761</v>
      </c>
      <c r="D263" t="s">
        <v>820</v>
      </c>
      <c r="E263" t="s">
        <v>821</v>
      </c>
      <c r="F263">
        <v>201</v>
      </c>
      <c r="G263" t="s">
        <v>18</v>
      </c>
      <c r="J263" t="s">
        <v>35</v>
      </c>
    </row>
    <row r="264" spans="1:10" x14ac:dyDescent="0.25">
      <c r="A264" s="1" t="s">
        <v>868</v>
      </c>
      <c r="B264" t="s">
        <v>869</v>
      </c>
      <c r="C264" t="s">
        <v>761</v>
      </c>
      <c r="D264" t="s">
        <v>820</v>
      </c>
      <c r="E264" t="s">
        <v>821</v>
      </c>
      <c r="F264">
        <v>201</v>
      </c>
      <c r="G264" t="s">
        <v>18</v>
      </c>
      <c r="J264" t="s">
        <v>35</v>
      </c>
    </row>
    <row r="265" spans="1:10" x14ac:dyDescent="0.25">
      <c r="A265" s="1" t="s">
        <v>870</v>
      </c>
      <c r="B265" t="s">
        <v>871</v>
      </c>
      <c r="C265" t="s">
        <v>761</v>
      </c>
      <c r="D265" t="s">
        <v>820</v>
      </c>
      <c r="E265" t="s">
        <v>821</v>
      </c>
      <c r="F265">
        <v>201</v>
      </c>
      <c r="G265" t="s">
        <v>18</v>
      </c>
      <c r="J265" t="s">
        <v>35</v>
      </c>
    </row>
    <row r="266" spans="1:10" x14ac:dyDescent="0.25">
      <c r="A266" s="1" t="s">
        <v>872</v>
      </c>
      <c r="B266" t="s">
        <v>873</v>
      </c>
      <c r="C266" t="s">
        <v>761</v>
      </c>
      <c r="D266" t="s">
        <v>820</v>
      </c>
      <c r="E266" t="s">
        <v>821</v>
      </c>
      <c r="F266">
        <v>201</v>
      </c>
      <c r="G266" t="s">
        <v>18</v>
      </c>
      <c r="J266" t="s">
        <v>35</v>
      </c>
    </row>
    <row r="267" spans="1:10" x14ac:dyDescent="0.25">
      <c r="A267" s="1" t="s">
        <v>874</v>
      </c>
      <c r="B267" t="s">
        <v>875</v>
      </c>
      <c r="C267" t="s">
        <v>761</v>
      </c>
      <c r="D267" t="s">
        <v>820</v>
      </c>
      <c r="E267" t="s">
        <v>821</v>
      </c>
      <c r="F267">
        <v>201</v>
      </c>
      <c r="G267" t="s">
        <v>18</v>
      </c>
      <c r="J267" t="s">
        <v>35</v>
      </c>
    </row>
    <row r="268" spans="1:10" x14ac:dyDescent="0.25">
      <c r="A268" s="1" t="s">
        <v>876</v>
      </c>
      <c r="B268" t="s">
        <v>877</v>
      </c>
      <c r="C268" t="s">
        <v>761</v>
      </c>
      <c r="D268" t="s">
        <v>35</v>
      </c>
      <c r="F268">
        <v>200.59</v>
      </c>
      <c r="G268" t="s">
        <v>36</v>
      </c>
      <c r="J268" t="s">
        <v>35</v>
      </c>
    </row>
    <row r="269" spans="1:10" x14ac:dyDescent="0.25">
      <c r="A269" s="1" t="s">
        <v>878</v>
      </c>
      <c r="B269" t="s">
        <v>879</v>
      </c>
      <c r="C269" t="s">
        <v>761</v>
      </c>
      <c r="D269" t="s">
        <v>35</v>
      </c>
      <c r="F269">
        <v>201</v>
      </c>
      <c r="G269" t="s">
        <v>36</v>
      </c>
      <c r="J269" t="s">
        <v>35</v>
      </c>
    </row>
    <row r="270" spans="1:10" x14ac:dyDescent="0.25">
      <c r="A270" s="1" t="s">
        <v>880</v>
      </c>
      <c r="B270" t="s">
        <v>881</v>
      </c>
      <c r="C270" t="s">
        <v>761</v>
      </c>
      <c r="D270" t="s">
        <v>35</v>
      </c>
      <c r="F270">
        <v>201</v>
      </c>
      <c r="G270" t="s">
        <v>36</v>
      </c>
      <c r="J270" t="s">
        <v>35</v>
      </c>
    </row>
    <row r="271" spans="1:10" x14ac:dyDescent="0.25">
      <c r="A271" s="1" t="s">
        <v>882</v>
      </c>
      <c r="B271" t="s">
        <v>883</v>
      </c>
      <c r="C271" t="s">
        <v>761</v>
      </c>
      <c r="D271" t="s">
        <v>35</v>
      </c>
      <c r="F271">
        <v>201</v>
      </c>
      <c r="G271" t="s">
        <v>36</v>
      </c>
      <c r="J271" t="s">
        <v>35</v>
      </c>
    </row>
    <row r="272" spans="1:10" x14ac:dyDescent="0.25">
      <c r="A272" s="1" t="s">
        <v>884</v>
      </c>
      <c r="B272" t="s">
        <v>885</v>
      </c>
      <c r="C272" t="s">
        <v>761</v>
      </c>
      <c r="D272" t="s">
        <v>35</v>
      </c>
      <c r="F272">
        <v>201</v>
      </c>
      <c r="G272" t="s">
        <v>36</v>
      </c>
      <c r="J272" t="s">
        <v>35</v>
      </c>
    </row>
    <row r="273" spans="1:10" x14ac:dyDescent="0.25">
      <c r="A273" s="1" t="s">
        <v>886</v>
      </c>
      <c r="B273" t="s">
        <v>887</v>
      </c>
      <c r="C273" t="s">
        <v>761</v>
      </c>
      <c r="D273" t="s">
        <v>35</v>
      </c>
      <c r="F273">
        <v>201</v>
      </c>
      <c r="G273" t="s">
        <v>36</v>
      </c>
      <c r="J273" t="s">
        <v>35</v>
      </c>
    </row>
    <row r="274" spans="1:10" x14ac:dyDescent="0.25">
      <c r="A274" s="1" t="s">
        <v>888</v>
      </c>
      <c r="B274" t="s">
        <v>889</v>
      </c>
      <c r="C274" t="s">
        <v>761</v>
      </c>
      <c r="D274" t="s">
        <v>35</v>
      </c>
      <c r="F274">
        <v>201</v>
      </c>
      <c r="G274" t="s">
        <v>36</v>
      </c>
      <c r="J274" t="s">
        <v>35</v>
      </c>
    </row>
    <row r="275" spans="1:10" x14ac:dyDescent="0.25">
      <c r="A275" s="1" t="s">
        <v>890</v>
      </c>
      <c r="B275" t="s">
        <v>891</v>
      </c>
      <c r="C275" t="s">
        <v>761</v>
      </c>
      <c r="D275" t="s">
        <v>35</v>
      </c>
      <c r="F275">
        <v>201</v>
      </c>
      <c r="G275" t="s">
        <v>36</v>
      </c>
      <c r="J275" t="s">
        <v>35</v>
      </c>
    </row>
    <row r="276" spans="1:10" x14ac:dyDescent="0.25">
      <c r="A276" s="1" t="s">
        <v>892</v>
      </c>
      <c r="B276" t="s">
        <v>893</v>
      </c>
      <c r="C276" t="s">
        <v>761</v>
      </c>
      <c r="D276" t="s">
        <v>35</v>
      </c>
      <c r="F276">
        <v>201</v>
      </c>
      <c r="G276" t="s">
        <v>36</v>
      </c>
      <c r="J276" t="s">
        <v>35</v>
      </c>
    </row>
    <row r="277" spans="1:10" x14ac:dyDescent="0.25">
      <c r="A277" s="1" t="s">
        <v>894</v>
      </c>
      <c r="B277" t="s">
        <v>895</v>
      </c>
      <c r="C277" t="s">
        <v>761</v>
      </c>
      <c r="D277" t="s">
        <v>35</v>
      </c>
      <c r="F277">
        <v>201</v>
      </c>
      <c r="G277" t="s">
        <v>36</v>
      </c>
      <c r="J277" t="s">
        <v>35</v>
      </c>
    </row>
    <row r="278" spans="1:10" x14ac:dyDescent="0.25">
      <c r="A278" s="1" t="s">
        <v>896</v>
      </c>
      <c r="B278" t="s">
        <v>897</v>
      </c>
      <c r="C278" t="s">
        <v>761</v>
      </c>
      <c r="D278" t="s">
        <v>35</v>
      </c>
      <c r="F278">
        <v>201</v>
      </c>
      <c r="G278" t="s">
        <v>36</v>
      </c>
      <c r="J278" t="s">
        <v>35</v>
      </c>
    </row>
    <row r="279" spans="1:10" x14ac:dyDescent="0.25">
      <c r="A279" s="1" t="s">
        <v>898</v>
      </c>
      <c r="B279" t="s">
        <v>899</v>
      </c>
      <c r="C279" t="s">
        <v>761</v>
      </c>
      <c r="D279" t="s">
        <v>35</v>
      </c>
      <c r="F279">
        <v>201</v>
      </c>
      <c r="G279" t="s">
        <v>36</v>
      </c>
      <c r="J279" t="s">
        <v>35</v>
      </c>
    </row>
    <row r="280" spans="1:10" x14ac:dyDescent="0.25">
      <c r="A280" s="1" t="s">
        <v>900</v>
      </c>
      <c r="B280" t="s">
        <v>901</v>
      </c>
      <c r="C280" t="s">
        <v>761</v>
      </c>
      <c r="D280" t="s">
        <v>35</v>
      </c>
      <c r="F280">
        <v>201</v>
      </c>
      <c r="G280" t="s">
        <v>36</v>
      </c>
      <c r="J280" t="s">
        <v>35</v>
      </c>
    </row>
    <row r="281" spans="1:10" x14ac:dyDescent="0.25">
      <c r="A281" s="1" t="s">
        <v>902</v>
      </c>
      <c r="B281" t="s">
        <v>903</v>
      </c>
      <c r="C281" t="s">
        <v>761</v>
      </c>
      <c r="D281" t="s">
        <v>35</v>
      </c>
      <c r="F281">
        <v>201</v>
      </c>
      <c r="G281" t="s">
        <v>36</v>
      </c>
      <c r="J281" t="s">
        <v>35</v>
      </c>
    </row>
    <row r="282" spans="1:10" x14ac:dyDescent="0.25">
      <c r="A282" s="1" t="s">
        <v>904</v>
      </c>
      <c r="B282" t="s">
        <v>905</v>
      </c>
      <c r="C282" t="s">
        <v>761</v>
      </c>
      <c r="D282" t="s">
        <v>35</v>
      </c>
      <c r="F282">
        <v>201</v>
      </c>
      <c r="G282" t="s">
        <v>36</v>
      </c>
      <c r="J282" t="s">
        <v>35</v>
      </c>
    </row>
    <row r="283" spans="1:10" x14ac:dyDescent="0.25">
      <c r="A283" s="1" t="s">
        <v>906</v>
      </c>
      <c r="B283" t="s">
        <v>907</v>
      </c>
      <c r="C283" t="s">
        <v>761</v>
      </c>
      <c r="D283" t="s">
        <v>35</v>
      </c>
      <c r="F283">
        <v>201</v>
      </c>
      <c r="G283" t="s">
        <v>36</v>
      </c>
      <c r="J283" t="s">
        <v>35</v>
      </c>
    </row>
    <row r="284" spans="1:10" x14ac:dyDescent="0.25">
      <c r="A284" s="1" t="s">
        <v>908</v>
      </c>
      <c r="B284" t="s">
        <v>909</v>
      </c>
      <c r="C284" t="s">
        <v>761</v>
      </c>
      <c r="D284" t="s">
        <v>35</v>
      </c>
      <c r="F284">
        <v>201</v>
      </c>
      <c r="G284" t="s">
        <v>36</v>
      </c>
      <c r="J284" t="s">
        <v>35</v>
      </c>
    </row>
    <row r="285" spans="1:10" x14ac:dyDescent="0.25">
      <c r="A285" s="1" t="s">
        <v>910</v>
      </c>
      <c r="B285" t="s">
        <v>911</v>
      </c>
      <c r="C285" t="s">
        <v>761</v>
      </c>
      <c r="D285" t="s">
        <v>35</v>
      </c>
      <c r="F285">
        <v>201</v>
      </c>
      <c r="G285" t="s">
        <v>36</v>
      </c>
      <c r="J285" t="s">
        <v>35</v>
      </c>
    </row>
    <row r="286" spans="1:10" x14ac:dyDescent="0.25">
      <c r="A286" s="1" t="s">
        <v>912</v>
      </c>
      <c r="B286" t="s">
        <v>913</v>
      </c>
      <c r="C286" t="s">
        <v>761</v>
      </c>
      <c r="D286" t="s">
        <v>35</v>
      </c>
      <c r="F286">
        <v>201</v>
      </c>
      <c r="G286" t="s">
        <v>36</v>
      </c>
      <c r="J286" t="s">
        <v>35</v>
      </c>
    </row>
    <row r="287" spans="1:10" x14ac:dyDescent="0.25">
      <c r="A287" s="1" t="s">
        <v>914</v>
      </c>
      <c r="B287" t="s">
        <v>915</v>
      </c>
      <c r="C287" t="s">
        <v>761</v>
      </c>
      <c r="D287" t="s">
        <v>35</v>
      </c>
      <c r="F287">
        <v>201</v>
      </c>
      <c r="G287" t="s">
        <v>36</v>
      </c>
      <c r="J287" t="s">
        <v>35</v>
      </c>
    </row>
    <row r="288" spans="1:10" x14ac:dyDescent="0.25">
      <c r="A288" s="1" t="s">
        <v>916</v>
      </c>
      <c r="B288" t="s">
        <v>917</v>
      </c>
      <c r="C288" t="s">
        <v>761</v>
      </c>
      <c r="D288" t="s">
        <v>35</v>
      </c>
      <c r="F288">
        <v>201</v>
      </c>
      <c r="G288" t="s">
        <v>36</v>
      </c>
      <c r="J288" t="s">
        <v>35</v>
      </c>
    </row>
    <row r="289" spans="1:12" x14ac:dyDescent="0.25">
      <c r="A289" s="1" t="s">
        <v>918</v>
      </c>
      <c r="B289" t="s">
        <v>919</v>
      </c>
      <c r="C289" t="s">
        <v>761</v>
      </c>
      <c r="D289" t="s">
        <v>35</v>
      </c>
      <c r="F289">
        <v>201</v>
      </c>
      <c r="G289" t="s">
        <v>36</v>
      </c>
      <c r="J289" t="s">
        <v>35</v>
      </c>
    </row>
    <row r="290" spans="1:12" x14ac:dyDescent="0.25">
      <c r="A290" s="1" t="s">
        <v>920</v>
      </c>
      <c r="B290" t="s">
        <v>921</v>
      </c>
      <c r="C290" t="s">
        <v>761</v>
      </c>
      <c r="D290" t="s">
        <v>35</v>
      </c>
      <c r="F290">
        <v>201</v>
      </c>
      <c r="G290" t="s">
        <v>36</v>
      </c>
      <c r="J290" t="s">
        <v>35</v>
      </c>
    </row>
    <row r="291" spans="1:12" x14ac:dyDescent="0.25">
      <c r="A291" s="1" t="s">
        <v>922</v>
      </c>
      <c r="B291" t="s">
        <v>923</v>
      </c>
      <c r="C291" t="s">
        <v>761</v>
      </c>
      <c r="D291" t="s">
        <v>35</v>
      </c>
      <c r="F291">
        <v>201</v>
      </c>
      <c r="G291" t="s">
        <v>36</v>
      </c>
      <c r="J291" t="s">
        <v>35</v>
      </c>
    </row>
    <row r="292" spans="1:12" x14ac:dyDescent="0.25">
      <c r="A292" s="1" t="s">
        <v>924</v>
      </c>
      <c r="B292" t="s">
        <v>925</v>
      </c>
      <c r="C292" t="s">
        <v>761</v>
      </c>
      <c r="D292" t="s">
        <v>35</v>
      </c>
      <c r="F292">
        <v>201</v>
      </c>
      <c r="G292" t="s">
        <v>36</v>
      </c>
      <c r="J292" t="s">
        <v>35</v>
      </c>
    </row>
    <row r="293" spans="1:12" x14ac:dyDescent="0.25">
      <c r="A293" s="1" t="s">
        <v>926</v>
      </c>
      <c r="B293" t="s">
        <v>927</v>
      </c>
      <c r="C293" t="s">
        <v>761</v>
      </c>
      <c r="D293" t="s">
        <v>35</v>
      </c>
      <c r="F293">
        <v>201</v>
      </c>
      <c r="G293" t="s">
        <v>36</v>
      </c>
      <c r="J293" t="s">
        <v>35</v>
      </c>
    </row>
    <row r="294" spans="1:12" x14ac:dyDescent="0.25">
      <c r="A294" s="1" t="s">
        <v>928</v>
      </c>
      <c r="B294" t="s">
        <v>929</v>
      </c>
      <c r="C294" t="s">
        <v>761</v>
      </c>
      <c r="D294" t="s">
        <v>35</v>
      </c>
      <c r="F294">
        <v>201</v>
      </c>
      <c r="G294" t="s">
        <v>36</v>
      </c>
      <c r="J294" t="s">
        <v>35</v>
      </c>
    </row>
    <row r="295" spans="1:12" x14ac:dyDescent="0.25">
      <c r="A295" s="1" t="s">
        <v>930</v>
      </c>
      <c r="B295" t="s">
        <v>931</v>
      </c>
      <c r="C295" t="s">
        <v>761</v>
      </c>
      <c r="D295" t="s">
        <v>35</v>
      </c>
      <c r="F295">
        <v>201</v>
      </c>
      <c r="G295" t="s">
        <v>36</v>
      </c>
      <c r="J295" t="s">
        <v>35</v>
      </c>
    </row>
    <row r="296" spans="1:12" x14ac:dyDescent="0.25">
      <c r="A296" s="1" t="s">
        <v>34</v>
      </c>
      <c r="B296" t="s">
        <v>932</v>
      </c>
      <c r="C296" t="s">
        <v>34</v>
      </c>
      <c r="D296" t="s">
        <v>933</v>
      </c>
      <c r="E296" t="s">
        <v>934</v>
      </c>
      <c r="F296">
        <v>126.9</v>
      </c>
      <c r="G296" t="s">
        <v>18</v>
      </c>
    </row>
    <row r="297" spans="1:12" x14ac:dyDescent="0.25">
      <c r="A297" s="1" t="s">
        <v>935</v>
      </c>
      <c r="B297" t="s">
        <v>936</v>
      </c>
      <c r="C297" t="s">
        <v>935</v>
      </c>
      <c r="D297" t="s">
        <v>937</v>
      </c>
      <c r="E297" t="s">
        <v>938</v>
      </c>
      <c r="F297">
        <v>253.8</v>
      </c>
      <c r="G297" t="s">
        <v>18</v>
      </c>
    </row>
    <row r="298" spans="1:12" x14ac:dyDescent="0.25">
      <c r="A298" s="1" t="s">
        <v>939</v>
      </c>
      <c r="B298" t="s">
        <v>940</v>
      </c>
      <c r="C298" t="s">
        <v>939</v>
      </c>
      <c r="D298" t="s">
        <v>941</v>
      </c>
      <c r="E298" t="s">
        <v>942</v>
      </c>
      <c r="F298">
        <v>285.8</v>
      </c>
      <c r="G298" t="s">
        <v>18</v>
      </c>
    </row>
    <row r="299" spans="1:12" x14ac:dyDescent="0.25">
      <c r="A299" s="1" t="s">
        <v>943</v>
      </c>
      <c r="B299" t="s">
        <v>944</v>
      </c>
      <c r="C299" t="s">
        <v>943</v>
      </c>
      <c r="D299" t="s">
        <v>945</v>
      </c>
      <c r="E299" t="s">
        <v>946</v>
      </c>
      <c r="F299">
        <v>301.8</v>
      </c>
      <c r="G299" t="s">
        <v>18</v>
      </c>
    </row>
    <row r="300" spans="1:12" x14ac:dyDescent="0.25">
      <c r="A300" s="1" t="s">
        <v>947</v>
      </c>
      <c r="B300" t="s">
        <v>948</v>
      </c>
      <c r="C300" t="s">
        <v>947</v>
      </c>
      <c r="D300" t="s">
        <v>949</v>
      </c>
      <c r="E300" t="s">
        <v>950</v>
      </c>
      <c r="F300">
        <v>317.8</v>
      </c>
      <c r="G300" t="s">
        <v>18</v>
      </c>
    </row>
    <row r="301" spans="1:12" x14ac:dyDescent="0.25">
      <c r="A301" s="1" t="s">
        <v>951</v>
      </c>
      <c r="B301" t="s">
        <v>952</v>
      </c>
      <c r="C301" t="s">
        <v>953</v>
      </c>
      <c r="D301" t="s">
        <v>35</v>
      </c>
      <c r="G301" t="s">
        <v>18</v>
      </c>
    </row>
    <row r="302" spans="1:12" x14ac:dyDescent="0.25">
      <c r="A302" s="1" t="s">
        <v>954</v>
      </c>
      <c r="B302" t="s">
        <v>955</v>
      </c>
      <c r="C302" t="s">
        <v>954</v>
      </c>
      <c r="D302" t="s">
        <v>956</v>
      </c>
      <c r="E302" t="s">
        <v>957</v>
      </c>
      <c r="F302">
        <v>206.9</v>
      </c>
      <c r="G302" t="s">
        <v>18</v>
      </c>
    </row>
    <row r="303" spans="1:12" x14ac:dyDescent="0.25">
      <c r="A303" s="1" t="s">
        <v>958</v>
      </c>
      <c r="B303" t="s">
        <v>959</v>
      </c>
      <c r="C303" t="s">
        <v>710</v>
      </c>
      <c r="D303" t="s">
        <v>960</v>
      </c>
      <c r="E303" t="s">
        <v>961</v>
      </c>
      <c r="F303">
        <v>116.13</v>
      </c>
      <c r="G303" t="s">
        <v>18</v>
      </c>
      <c r="J303" t="s">
        <v>35</v>
      </c>
      <c r="K303" t="s">
        <v>958</v>
      </c>
      <c r="L303" t="s">
        <v>958</v>
      </c>
    </row>
    <row r="304" spans="1:12" x14ac:dyDescent="0.25">
      <c r="A304" s="1" t="s">
        <v>962</v>
      </c>
      <c r="B304" t="s">
        <v>963</v>
      </c>
      <c r="C304" t="s">
        <v>964</v>
      </c>
      <c r="D304" t="s">
        <v>965</v>
      </c>
      <c r="E304" t="s">
        <v>966</v>
      </c>
      <c r="F304">
        <v>149.13999999999999</v>
      </c>
      <c r="G304" t="s">
        <v>18</v>
      </c>
      <c r="J304" t="s">
        <v>967</v>
      </c>
      <c r="K304" t="s">
        <v>962</v>
      </c>
      <c r="L304" t="s">
        <v>962</v>
      </c>
    </row>
    <row r="305" spans="1:13" x14ac:dyDescent="0.25">
      <c r="A305" s="1" t="s">
        <v>968</v>
      </c>
      <c r="B305" t="s">
        <v>969</v>
      </c>
      <c r="C305" t="s">
        <v>970</v>
      </c>
      <c r="D305" t="s">
        <v>35</v>
      </c>
      <c r="E305" t="s">
        <v>971</v>
      </c>
      <c r="F305">
        <v>145.13</v>
      </c>
      <c r="G305" t="s">
        <v>18</v>
      </c>
      <c r="J305" t="s">
        <v>972</v>
      </c>
      <c r="K305" t="s">
        <v>973</v>
      </c>
      <c r="L305" t="s">
        <v>974</v>
      </c>
    </row>
    <row r="306" spans="1:13" x14ac:dyDescent="0.25">
      <c r="A306" s="1" t="s">
        <v>975</v>
      </c>
      <c r="B306" t="s">
        <v>976</v>
      </c>
      <c r="C306" t="s">
        <v>977</v>
      </c>
      <c r="D306" t="s">
        <v>35</v>
      </c>
      <c r="E306" t="s">
        <v>978</v>
      </c>
      <c r="F306">
        <v>194.14</v>
      </c>
      <c r="G306" t="s">
        <v>18</v>
      </c>
      <c r="J306" t="s">
        <v>979</v>
      </c>
      <c r="K306" t="s">
        <v>980</v>
      </c>
      <c r="L306" t="s">
        <v>981</v>
      </c>
    </row>
    <row r="307" spans="1:13" x14ac:dyDescent="0.25">
      <c r="A307" s="1" t="s">
        <v>982</v>
      </c>
      <c r="B307" t="s">
        <v>983</v>
      </c>
      <c r="C307" t="s">
        <v>984</v>
      </c>
      <c r="D307" t="s">
        <v>35</v>
      </c>
      <c r="E307" t="s">
        <v>985</v>
      </c>
      <c r="F307">
        <v>150.15</v>
      </c>
      <c r="G307" t="s">
        <v>18</v>
      </c>
      <c r="J307" t="s">
        <v>986</v>
      </c>
      <c r="K307" t="s">
        <v>982</v>
      </c>
      <c r="L307" t="s">
        <v>982</v>
      </c>
    </row>
    <row r="308" spans="1:13" x14ac:dyDescent="0.25">
      <c r="A308" s="1" t="s">
        <v>987</v>
      </c>
      <c r="B308" t="s">
        <v>988</v>
      </c>
      <c r="C308" t="s">
        <v>987</v>
      </c>
      <c r="D308" t="s">
        <v>989</v>
      </c>
      <c r="E308" t="s">
        <v>990</v>
      </c>
      <c r="F308">
        <v>162.44999999999999</v>
      </c>
      <c r="G308" t="s">
        <v>18</v>
      </c>
    </row>
    <row r="309" spans="1:13" x14ac:dyDescent="0.25">
      <c r="A309" s="1" t="s">
        <v>991</v>
      </c>
      <c r="B309" t="s">
        <v>992</v>
      </c>
      <c r="C309" t="s">
        <v>58</v>
      </c>
      <c r="D309" t="s">
        <v>35</v>
      </c>
      <c r="E309" t="s">
        <v>993</v>
      </c>
      <c r="F309">
        <v>98.11</v>
      </c>
      <c r="G309" t="s">
        <v>18</v>
      </c>
      <c r="J309" t="s">
        <v>994</v>
      </c>
      <c r="K309" t="s">
        <v>995</v>
      </c>
      <c r="L309" t="s">
        <v>991</v>
      </c>
    </row>
    <row r="310" spans="1:13" x14ac:dyDescent="0.25">
      <c r="A310" s="1" t="s">
        <v>996</v>
      </c>
      <c r="B310" t="s">
        <v>997</v>
      </c>
      <c r="C310" t="s">
        <v>998</v>
      </c>
      <c r="D310" t="s">
        <v>35</v>
      </c>
      <c r="E310" t="s">
        <v>999</v>
      </c>
      <c r="F310">
        <v>148.13</v>
      </c>
      <c r="G310" t="s">
        <v>18</v>
      </c>
      <c r="J310" t="s">
        <v>1000</v>
      </c>
      <c r="K310" t="s">
        <v>996</v>
      </c>
      <c r="L310" t="s">
        <v>996</v>
      </c>
    </row>
    <row r="311" spans="1:13" x14ac:dyDescent="0.25">
      <c r="A311" s="1" t="s">
        <v>1001</v>
      </c>
      <c r="B311" t="s">
        <v>1002</v>
      </c>
      <c r="C311" t="s">
        <v>1003</v>
      </c>
      <c r="D311" t="s">
        <v>35</v>
      </c>
      <c r="E311" t="s">
        <v>1004</v>
      </c>
      <c r="F311">
        <v>168.17</v>
      </c>
      <c r="G311" t="s">
        <v>18</v>
      </c>
      <c r="J311" t="s">
        <v>35</v>
      </c>
      <c r="K311" t="s">
        <v>1001</v>
      </c>
      <c r="L311" t="s">
        <v>1001</v>
      </c>
    </row>
    <row r="312" spans="1:13" x14ac:dyDescent="0.25">
      <c r="A312" s="1" t="s">
        <v>1005</v>
      </c>
      <c r="B312" t="s">
        <v>1006</v>
      </c>
      <c r="C312" t="s">
        <v>1007</v>
      </c>
      <c r="D312" t="s">
        <v>35</v>
      </c>
      <c r="E312" t="s">
        <v>1008</v>
      </c>
      <c r="F312">
        <v>196.16</v>
      </c>
      <c r="G312" t="s">
        <v>18</v>
      </c>
      <c r="J312" t="s">
        <v>35</v>
      </c>
      <c r="K312" t="s">
        <v>1009</v>
      </c>
      <c r="L312" t="s">
        <v>1005</v>
      </c>
    </row>
    <row r="313" spans="1:13" x14ac:dyDescent="0.25">
      <c r="A313" s="1" t="s">
        <v>1010</v>
      </c>
      <c r="B313" t="s">
        <v>1011</v>
      </c>
      <c r="C313" t="s">
        <v>1012</v>
      </c>
      <c r="D313" t="s">
        <v>35</v>
      </c>
      <c r="E313" t="s">
        <v>1013</v>
      </c>
      <c r="F313">
        <v>196.16</v>
      </c>
      <c r="G313" t="s">
        <v>18</v>
      </c>
      <c r="J313" t="s">
        <v>1014</v>
      </c>
      <c r="K313" t="s">
        <v>1010</v>
      </c>
      <c r="L313" t="s">
        <v>1010</v>
      </c>
    </row>
    <row r="314" spans="1:13" x14ac:dyDescent="0.25">
      <c r="A314" s="1" t="s">
        <v>1015</v>
      </c>
      <c r="B314" t="s">
        <v>1016</v>
      </c>
      <c r="C314" t="s">
        <v>1012</v>
      </c>
      <c r="D314" t="s">
        <v>35</v>
      </c>
      <c r="E314" t="s">
        <v>1017</v>
      </c>
      <c r="F314">
        <v>196.16</v>
      </c>
      <c r="G314" t="s">
        <v>18</v>
      </c>
      <c r="J314" t="s">
        <v>1018</v>
      </c>
      <c r="K314" t="s">
        <v>1015</v>
      </c>
      <c r="L314" t="s">
        <v>1015</v>
      </c>
    </row>
    <row r="315" spans="1:13" x14ac:dyDescent="0.25">
      <c r="A315" s="1" t="s">
        <v>1019</v>
      </c>
      <c r="B315" t="s">
        <v>1020</v>
      </c>
      <c r="C315" t="s">
        <v>984</v>
      </c>
      <c r="D315" t="s">
        <v>35</v>
      </c>
      <c r="E315" t="s">
        <v>1021</v>
      </c>
      <c r="F315">
        <v>150.15</v>
      </c>
      <c r="G315" t="s">
        <v>18</v>
      </c>
      <c r="J315" t="s">
        <v>35</v>
      </c>
      <c r="K315" t="s">
        <v>1019</v>
      </c>
      <c r="L315" t="s">
        <v>1019</v>
      </c>
    </row>
    <row r="316" spans="1:13" x14ac:dyDescent="0.25">
      <c r="A316" s="1" t="s">
        <v>1022</v>
      </c>
      <c r="B316" t="s">
        <v>1023</v>
      </c>
      <c r="C316" t="s">
        <v>1024</v>
      </c>
      <c r="D316" t="s">
        <v>35</v>
      </c>
      <c r="E316" t="s">
        <v>1025</v>
      </c>
      <c r="F316">
        <v>192.15</v>
      </c>
      <c r="G316" t="s">
        <v>18</v>
      </c>
      <c r="J316" t="s">
        <v>1026</v>
      </c>
      <c r="K316" t="s">
        <v>1027</v>
      </c>
      <c r="L316" t="s">
        <v>1028</v>
      </c>
    </row>
    <row r="317" spans="1:13" x14ac:dyDescent="0.25">
      <c r="A317" s="1" t="s">
        <v>1029</v>
      </c>
      <c r="B317" t="s">
        <v>1029</v>
      </c>
      <c r="C317" t="s">
        <v>1030</v>
      </c>
      <c r="D317" t="s">
        <v>1031</v>
      </c>
      <c r="E317" t="s">
        <v>1032</v>
      </c>
      <c r="F317">
        <v>241.14</v>
      </c>
      <c r="G317" t="s">
        <v>18</v>
      </c>
      <c r="K317" t="s">
        <v>1029</v>
      </c>
    </row>
    <row r="318" spans="1:13" x14ac:dyDescent="0.25">
      <c r="A318" s="1" t="s">
        <v>1033</v>
      </c>
      <c r="B318" t="s">
        <v>1034</v>
      </c>
      <c r="C318" t="s">
        <v>1035</v>
      </c>
      <c r="D318" t="s">
        <v>35</v>
      </c>
      <c r="E318" t="s">
        <v>1036</v>
      </c>
      <c r="F318">
        <v>118</v>
      </c>
      <c r="G318" t="s">
        <v>18</v>
      </c>
      <c r="H318" t="s">
        <v>479</v>
      </c>
      <c r="K318" t="s">
        <v>1037</v>
      </c>
      <c r="M318" t="s">
        <v>1038</v>
      </c>
    </row>
    <row r="319" spans="1:13" x14ac:dyDescent="0.25">
      <c r="A319" s="1" t="s">
        <v>1039</v>
      </c>
      <c r="B319" t="s">
        <v>1040</v>
      </c>
      <c r="C319" t="s">
        <v>1041</v>
      </c>
      <c r="D319" t="s">
        <v>35</v>
      </c>
      <c r="E319" t="s">
        <v>1036</v>
      </c>
      <c r="F319">
        <v>106.14</v>
      </c>
      <c r="G319" t="s">
        <v>18</v>
      </c>
      <c r="J319" t="s">
        <v>1042</v>
      </c>
      <c r="K319" t="s">
        <v>1043</v>
      </c>
      <c r="L319" t="s">
        <v>1044</v>
      </c>
    </row>
    <row r="320" spans="1:13" x14ac:dyDescent="0.25">
      <c r="A320" s="1" t="s">
        <v>1045</v>
      </c>
      <c r="B320" t="s">
        <v>1046</v>
      </c>
      <c r="C320" t="s">
        <v>1047</v>
      </c>
      <c r="D320" t="s">
        <v>1048</v>
      </c>
      <c r="E320" t="s">
        <v>1049</v>
      </c>
      <c r="F320">
        <v>149.13999999999999</v>
      </c>
      <c r="G320" t="s">
        <v>18</v>
      </c>
      <c r="J320" t="s">
        <v>1050</v>
      </c>
      <c r="K320" t="s">
        <v>1045</v>
      </c>
      <c r="L320" t="s">
        <v>1045</v>
      </c>
    </row>
    <row r="321" spans="1:13" x14ac:dyDescent="0.25">
      <c r="A321" s="1" t="s">
        <v>1051</v>
      </c>
      <c r="B321" t="s">
        <v>1052</v>
      </c>
      <c r="C321" t="s">
        <v>1041</v>
      </c>
      <c r="D321" t="s">
        <v>1053</v>
      </c>
      <c r="E321" t="s">
        <v>1054</v>
      </c>
      <c r="F321">
        <v>106.14</v>
      </c>
      <c r="G321" t="s">
        <v>18</v>
      </c>
      <c r="J321" t="s">
        <v>1055</v>
      </c>
      <c r="K321" t="s">
        <v>1056</v>
      </c>
      <c r="L321" t="s">
        <v>1051</v>
      </c>
    </row>
    <row r="322" spans="1:13" x14ac:dyDescent="0.25">
      <c r="A322" s="1" t="s">
        <v>1057</v>
      </c>
      <c r="B322" t="s">
        <v>1058</v>
      </c>
      <c r="C322" t="s">
        <v>964</v>
      </c>
      <c r="D322" t="s">
        <v>1059</v>
      </c>
      <c r="E322" t="s">
        <v>1060</v>
      </c>
      <c r="F322">
        <v>149.13999999999999</v>
      </c>
      <c r="G322" t="s">
        <v>18</v>
      </c>
      <c r="J322" t="s">
        <v>1061</v>
      </c>
      <c r="K322" t="s">
        <v>1057</v>
      </c>
      <c r="L322" t="s">
        <v>1057</v>
      </c>
    </row>
    <row r="323" spans="1:13" x14ac:dyDescent="0.25">
      <c r="A323" s="1" t="s">
        <v>1062</v>
      </c>
      <c r="B323" t="s">
        <v>1063</v>
      </c>
      <c r="C323" t="s">
        <v>1041</v>
      </c>
      <c r="D323" t="s">
        <v>35</v>
      </c>
      <c r="E323" t="s">
        <v>1064</v>
      </c>
      <c r="F323">
        <v>106.14</v>
      </c>
      <c r="G323" t="s">
        <v>18</v>
      </c>
      <c r="J323" t="s">
        <v>1065</v>
      </c>
      <c r="K323" t="s">
        <v>1062</v>
      </c>
      <c r="L323" t="s">
        <v>1062</v>
      </c>
    </row>
    <row r="324" spans="1:13" x14ac:dyDescent="0.25">
      <c r="A324" s="1" t="s">
        <v>1066</v>
      </c>
      <c r="B324" t="s">
        <v>1067</v>
      </c>
      <c r="D324" t="s">
        <v>35</v>
      </c>
      <c r="G324" t="s">
        <v>18</v>
      </c>
      <c r="H324" t="s">
        <v>479</v>
      </c>
    </row>
    <row r="325" spans="1:13" x14ac:dyDescent="0.25">
      <c r="A325" s="1" t="s">
        <v>1068</v>
      </c>
      <c r="B325" t="s">
        <v>1069</v>
      </c>
      <c r="C325" t="s">
        <v>1070</v>
      </c>
      <c r="D325" t="s">
        <v>35</v>
      </c>
      <c r="E325" t="s">
        <v>1071</v>
      </c>
      <c r="F325">
        <v>147.15</v>
      </c>
      <c r="G325" t="s">
        <v>18</v>
      </c>
      <c r="J325" t="s">
        <v>1072</v>
      </c>
      <c r="K325" t="s">
        <v>1073</v>
      </c>
      <c r="L325" t="s">
        <v>1068</v>
      </c>
    </row>
    <row r="326" spans="1:13" x14ac:dyDescent="0.25">
      <c r="A326" s="1" t="s">
        <v>1074</v>
      </c>
      <c r="B326" t="s">
        <v>1075</v>
      </c>
      <c r="C326" t="s">
        <v>1070</v>
      </c>
      <c r="D326" t="s">
        <v>1076</v>
      </c>
      <c r="E326" t="s">
        <v>1077</v>
      </c>
      <c r="F326">
        <v>147.15</v>
      </c>
      <c r="G326" t="s">
        <v>18</v>
      </c>
      <c r="J326" t="s">
        <v>1078</v>
      </c>
      <c r="K326" t="s">
        <v>1079</v>
      </c>
      <c r="L326" t="s">
        <v>1074</v>
      </c>
    </row>
    <row r="327" spans="1:13" x14ac:dyDescent="0.25">
      <c r="A327" s="1" t="s">
        <v>1080</v>
      </c>
      <c r="B327" t="s">
        <v>1081</v>
      </c>
      <c r="C327" t="s">
        <v>1070</v>
      </c>
      <c r="D327" t="s">
        <v>1082</v>
      </c>
      <c r="E327" t="s">
        <v>1083</v>
      </c>
      <c r="F327">
        <v>147.15</v>
      </c>
      <c r="G327" t="s">
        <v>18</v>
      </c>
      <c r="J327" t="s">
        <v>1084</v>
      </c>
      <c r="K327" t="s">
        <v>1085</v>
      </c>
      <c r="L327" t="s">
        <v>1080</v>
      </c>
    </row>
    <row r="328" spans="1:13" x14ac:dyDescent="0.25">
      <c r="A328" s="1" t="s">
        <v>1086</v>
      </c>
      <c r="B328" t="s">
        <v>1087</v>
      </c>
      <c r="C328" t="s">
        <v>1070</v>
      </c>
      <c r="D328" t="s">
        <v>35</v>
      </c>
      <c r="E328" t="s">
        <v>1088</v>
      </c>
      <c r="F328">
        <v>147.15</v>
      </c>
      <c r="G328" t="s">
        <v>18</v>
      </c>
      <c r="J328" t="s">
        <v>1089</v>
      </c>
      <c r="K328" t="s">
        <v>1090</v>
      </c>
      <c r="L328" t="s">
        <v>1086</v>
      </c>
    </row>
    <row r="329" spans="1:13" x14ac:dyDescent="0.25">
      <c r="A329" s="1" t="s">
        <v>1091</v>
      </c>
      <c r="B329" t="s">
        <v>1092</v>
      </c>
      <c r="C329" t="s">
        <v>1093</v>
      </c>
      <c r="D329" t="s">
        <v>35</v>
      </c>
      <c r="E329" t="s">
        <v>1094</v>
      </c>
      <c r="F329">
        <v>117.14</v>
      </c>
      <c r="G329" t="s">
        <v>18</v>
      </c>
      <c r="J329" t="s">
        <v>1095</v>
      </c>
      <c r="K329" t="s">
        <v>1091</v>
      </c>
      <c r="L329" t="s">
        <v>1091</v>
      </c>
    </row>
    <row r="330" spans="1:13" x14ac:dyDescent="0.25">
      <c r="A330" s="1" t="s">
        <v>1096</v>
      </c>
      <c r="B330" t="s">
        <v>1097</v>
      </c>
      <c r="C330" t="s">
        <v>1093</v>
      </c>
      <c r="D330" t="s">
        <v>35</v>
      </c>
      <c r="E330" t="s">
        <v>1098</v>
      </c>
      <c r="F330">
        <v>117.14</v>
      </c>
      <c r="G330" t="s">
        <v>18</v>
      </c>
      <c r="J330" t="s">
        <v>1099</v>
      </c>
      <c r="K330" t="s">
        <v>1096</v>
      </c>
      <c r="L330" t="s">
        <v>1096</v>
      </c>
    </row>
    <row r="331" spans="1:13" x14ac:dyDescent="0.25">
      <c r="A331" s="1" t="s">
        <v>1100</v>
      </c>
      <c r="B331" t="s">
        <v>1101</v>
      </c>
      <c r="C331" t="s">
        <v>1102</v>
      </c>
      <c r="D331" t="s">
        <v>35</v>
      </c>
      <c r="E331" t="s">
        <v>1103</v>
      </c>
      <c r="F331">
        <v>212.16</v>
      </c>
      <c r="G331" t="s">
        <v>18</v>
      </c>
      <c r="J331" t="s">
        <v>35</v>
      </c>
      <c r="K331" t="s">
        <v>1100</v>
      </c>
      <c r="L331" t="s">
        <v>1100</v>
      </c>
    </row>
    <row r="332" spans="1:13" x14ac:dyDescent="0.25">
      <c r="A332" s="1" t="s">
        <v>1104</v>
      </c>
      <c r="B332" t="s">
        <v>1105</v>
      </c>
      <c r="C332" t="s">
        <v>1102</v>
      </c>
      <c r="D332" t="s">
        <v>35</v>
      </c>
      <c r="E332" t="s">
        <v>1106</v>
      </c>
      <c r="F332">
        <v>212.16</v>
      </c>
      <c r="G332" t="s">
        <v>18</v>
      </c>
      <c r="J332" t="s">
        <v>35</v>
      </c>
      <c r="K332" t="s">
        <v>1104</v>
      </c>
      <c r="L332" t="s">
        <v>1104</v>
      </c>
    </row>
    <row r="333" spans="1:13" x14ac:dyDescent="0.25">
      <c r="A333" s="1" t="s">
        <v>1107</v>
      </c>
      <c r="B333" t="s">
        <v>1108</v>
      </c>
      <c r="C333" t="s">
        <v>1109</v>
      </c>
      <c r="D333" t="s">
        <v>35</v>
      </c>
      <c r="E333" t="s">
        <v>1110</v>
      </c>
      <c r="F333">
        <v>167.16</v>
      </c>
      <c r="G333" t="s">
        <v>18</v>
      </c>
      <c r="J333" t="s">
        <v>35</v>
      </c>
      <c r="K333" t="s">
        <v>1107</v>
      </c>
      <c r="L333" t="s">
        <v>1107</v>
      </c>
    </row>
    <row r="334" spans="1:13" x14ac:dyDescent="0.25">
      <c r="A334" s="1" t="s">
        <v>1111</v>
      </c>
      <c r="B334" t="s">
        <v>1112</v>
      </c>
      <c r="C334" t="s">
        <v>1109</v>
      </c>
      <c r="D334" t="s">
        <v>35</v>
      </c>
      <c r="E334" t="s">
        <v>1113</v>
      </c>
      <c r="F334">
        <v>167.16</v>
      </c>
      <c r="G334" t="s">
        <v>18</v>
      </c>
      <c r="J334" t="s">
        <v>35</v>
      </c>
      <c r="K334" t="s">
        <v>1111</v>
      </c>
      <c r="L334" t="s">
        <v>1111</v>
      </c>
    </row>
    <row r="335" spans="1:13" x14ac:dyDescent="0.25">
      <c r="A335" s="1" t="s">
        <v>1114</v>
      </c>
      <c r="B335" t="s">
        <v>1115</v>
      </c>
      <c r="C335" t="s">
        <v>1109</v>
      </c>
      <c r="D335" t="s">
        <v>35</v>
      </c>
      <c r="E335" t="s">
        <v>1116</v>
      </c>
      <c r="F335">
        <v>167.16</v>
      </c>
      <c r="G335" t="s">
        <v>18</v>
      </c>
      <c r="J335" t="s">
        <v>35</v>
      </c>
      <c r="K335" t="s">
        <v>1114</v>
      </c>
      <c r="L335" t="s">
        <v>1114</v>
      </c>
    </row>
    <row r="336" spans="1:13" s="7" customFormat="1" x14ac:dyDescent="0.25">
      <c r="A336" s="4" t="s">
        <v>1117</v>
      </c>
      <c r="B336" s="7" t="s">
        <v>1118</v>
      </c>
      <c r="C336" s="7" t="s">
        <v>672</v>
      </c>
      <c r="D336" s="7" t="s">
        <v>35</v>
      </c>
      <c r="F336" s="7">
        <v>102</v>
      </c>
      <c r="G336" s="7" t="s">
        <v>18</v>
      </c>
      <c r="H336" s="7" t="s">
        <v>470</v>
      </c>
      <c r="M336" s="7" t="s">
        <v>1119</v>
      </c>
    </row>
    <row r="337" spans="1:12" x14ac:dyDescent="0.25">
      <c r="A337" s="1" t="s">
        <v>1120</v>
      </c>
      <c r="B337" t="s">
        <v>1121</v>
      </c>
      <c r="C337" t="s">
        <v>1122</v>
      </c>
      <c r="D337" t="s">
        <v>35</v>
      </c>
      <c r="E337" t="s">
        <v>1123</v>
      </c>
      <c r="F337">
        <v>146.13999999999999</v>
      </c>
      <c r="G337" t="s">
        <v>18</v>
      </c>
      <c r="J337" t="s">
        <v>1124</v>
      </c>
      <c r="K337" t="s">
        <v>1125</v>
      </c>
      <c r="L337" t="s">
        <v>1120</v>
      </c>
    </row>
    <row r="338" spans="1:12" s="7" customFormat="1" x14ac:dyDescent="0.25">
      <c r="A338" s="4" t="s">
        <v>1126</v>
      </c>
      <c r="B338" s="7" t="s">
        <v>1127</v>
      </c>
      <c r="D338" s="7" t="s">
        <v>35</v>
      </c>
      <c r="F338" s="7">
        <v>102</v>
      </c>
      <c r="G338" s="7" t="s">
        <v>36</v>
      </c>
      <c r="J338" s="7" t="s">
        <v>35</v>
      </c>
    </row>
    <row r="339" spans="1:12" x14ac:dyDescent="0.25">
      <c r="A339" s="1" t="s">
        <v>1125</v>
      </c>
      <c r="B339" t="s">
        <v>1128</v>
      </c>
      <c r="C339" t="s">
        <v>1129</v>
      </c>
      <c r="D339" t="s">
        <v>1130</v>
      </c>
      <c r="E339" t="s">
        <v>1131</v>
      </c>
      <c r="F339">
        <v>156.91</v>
      </c>
      <c r="G339" t="s">
        <v>18</v>
      </c>
      <c r="J339" t="s">
        <v>1124</v>
      </c>
      <c r="K339" t="s">
        <v>1125</v>
      </c>
      <c r="L339" t="s">
        <v>1120</v>
      </c>
    </row>
    <row r="340" spans="1:12" s="7" customFormat="1" x14ac:dyDescent="0.25">
      <c r="A340" s="4" t="s">
        <v>1132</v>
      </c>
      <c r="B340" s="7" t="s">
        <v>1133</v>
      </c>
      <c r="C340" s="7" t="s">
        <v>1134</v>
      </c>
      <c r="D340" s="7" t="s">
        <v>35</v>
      </c>
      <c r="G340" s="7" t="s">
        <v>18</v>
      </c>
    </row>
    <row r="341" spans="1:12" x14ac:dyDescent="0.25">
      <c r="A341" s="1" t="s">
        <v>1135</v>
      </c>
      <c r="B341" t="s">
        <v>1136</v>
      </c>
      <c r="C341" t="s">
        <v>1137</v>
      </c>
      <c r="D341" t="s">
        <v>35</v>
      </c>
      <c r="E341" t="s">
        <v>1138</v>
      </c>
      <c r="F341">
        <v>162.13999999999999</v>
      </c>
      <c r="G341" t="s">
        <v>18</v>
      </c>
      <c r="J341" t="s">
        <v>35</v>
      </c>
      <c r="K341" t="s">
        <v>1135</v>
      </c>
      <c r="L341" t="s">
        <v>1135</v>
      </c>
    </row>
    <row r="342" spans="1:12" x14ac:dyDescent="0.25">
      <c r="A342" s="1" t="s">
        <v>1139</v>
      </c>
      <c r="B342" t="s">
        <v>1140</v>
      </c>
      <c r="C342" t="s">
        <v>1137</v>
      </c>
      <c r="D342" t="s">
        <v>35</v>
      </c>
      <c r="E342" t="s">
        <v>1141</v>
      </c>
      <c r="F342">
        <v>162.13999999999999</v>
      </c>
      <c r="G342" t="s">
        <v>18</v>
      </c>
      <c r="J342" t="s">
        <v>1142</v>
      </c>
      <c r="K342" t="s">
        <v>1139</v>
      </c>
      <c r="L342" t="s">
        <v>1139</v>
      </c>
    </row>
    <row r="343" spans="1:12" x14ac:dyDescent="0.25">
      <c r="A343" s="1" t="s">
        <v>1143</v>
      </c>
      <c r="B343" t="s">
        <v>1144</v>
      </c>
      <c r="C343" t="s">
        <v>1145</v>
      </c>
      <c r="D343" t="s">
        <v>35</v>
      </c>
      <c r="E343" t="s">
        <v>1146</v>
      </c>
      <c r="F343">
        <v>163.15</v>
      </c>
      <c r="G343" t="s">
        <v>18</v>
      </c>
      <c r="J343" t="s">
        <v>1147</v>
      </c>
      <c r="K343" t="s">
        <v>1148</v>
      </c>
      <c r="L343" t="s">
        <v>1149</v>
      </c>
    </row>
    <row r="344" spans="1:12" x14ac:dyDescent="0.25">
      <c r="A344" s="1" t="s">
        <v>1150</v>
      </c>
      <c r="B344" t="s">
        <v>1151</v>
      </c>
      <c r="C344" t="s">
        <v>1152</v>
      </c>
      <c r="D344" t="s">
        <v>35</v>
      </c>
      <c r="E344" t="s">
        <v>1153</v>
      </c>
      <c r="F344">
        <v>163.15</v>
      </c>
      <c r="G344" t="s">
        <v>18</v>
      </c>
      <c r="J344" t="s">
        <v>1154</v>
      </c>
      <c r="K344" t="s">
        <v>1150</v>
      </c>
      <c r="L344" t="s">
        <v>1150</v>
      </c>
    </row>
    <row r="345" spans="1:12" s="7" customFormat="1" x14ac:dyDescent="0.25">
      <c r="A345" s="4" t="s">
        <v>1155</v>
      </c>
      <c r="B345" s="7" t="s">
        <v>1156</v>
      </c>
      <c r="C345" s="7" t="s">
        <v>1157</v>
      </c>
      <c r="D345" s="7" t="s">
        <v>35</v>
      </c>
      <c r="G345" s="7" t="s">
        <v>18</v>
      </c>
    </row>
    <row r="346" spans="1:12" x14ac:dyDescent="0.25">
      <c r="A346" s="1" t="s">
        <v>1158</v>
      </c>
      <c r="B346" t="s">
        <v>1159</v>
      </c>
      <c r="C346" t="s">
        <v>1158</v>
      </c>
      <c r="D346" t="s">
        <v>1160</v>
      </c>
      <c r="E346" t="s">
        <v>1161</v>
      </c>
      <c r="F346">
        <v>142.9</v>
      </c>
      <c r="G346" t="s">
        <v>18</v>
      </c>
    </row>
    <row r="347" spans="1:12" x14ac:dyDescent="0.25">
      <c r="A347" s="1" t="s">
        <v>1162</v>
      </c>
      <c r="B347" t="s">
        <v>1163</v>
      </c>
      <c r="C347" t="s">
        <v>1164</v>
      </c>
      <c r="D347" t="s">
        <v>35</v>
      </c>
      <c r="E347" t="s">
        <v>1165</v>
      </c>
      <c r="F347">
        <v>14.01</v>
      </c>
      <c r="G347" t="s">
        <v>36</v>
      </c>
      <c r="J347" t="s">
        <v>1166</v>
      </c>
      <c r="K347" t="s">
        <v>1167</v>
      </c>
    </row>
    <row r="348" spans="1:12" x14ac:dyDescent="0.25">
      <c r="A348" s="1" t="s">
        <v>1168</v>
      </c>
      <c r="B348" t="s">
        <v>1169</v>
      </c>
      <c r="C348" t="s">
        <v>1168</v>
      </c>
      <c r="D348" t="s">
        <v>1170</v>
      </c>
      <c r="E348" t="s">
        <v>1171</v>
      </c>
      <c r="F348">
        <v>172.91</v>
      </c>
      <c r="G348" t="s">
        <v>18</v>
      </c>
    </row>
    <row r="349" spans="1:12" x14ac:dyDescent="0.25">
      <c r="A349" s="1" t="s">
        <v>1172</v>
      </c>
      <c r="B349" t="s">
        <v>1173</v>
      </c>
      <c r="C349" t="s">
        <v>1172</v>
      </c>
      <c r="D349" t="s">
        <v>1174</v>
      </c>
      <c r="E349" t="s">
        <v>1175</v>
      </c>
      <c r="F349">
        <v>188.91</v>
      </c>
      <c r="G349" t="s">
        <v>18</v>
      </c>
    </row>
    <row r="350" spans="1:12" x14ac:dyDescent="0.25">
      <c r="A350" s="1" t="s">
        <v>1176</v>
      </c>
      <c r="B350" t="s">
        <v>1177</v>
      </c>
      <c r="C350" t="s">
        <v>1178</v>
      </c>
      <c r="D350" t="s">
        <v>35</v>
      </c>
      <c r="F350">
        <v>147</v>
      </c>
      <c r="G350" t="s">
        <v>18</v>
      </c>
      <c r="H350" t="s">
        <v>470</v>
      </c>
    </row>
    <row r="351" spans="1:12" x14ac:dyDescent="0.25">
      <c r="A351" s="1" t="s">
        <v>1179</v>
      </c>
      <c r="B351" t="s">
        <v>1180</v>
      </c>
      <c r="C351" t="s">
        <v>1181</v>
      </c>
      <c r="D351" t="s">
        <v>1182</v>
      </c>
      <c r="E351" t="s">
        <v>1183</v>
      </c>
      <c r="F351">
        <v>105.11</v>
      </c>
      <c r="G351" t="s">
        <v>18</v>
      </c>
      <c r="J351" t="s">
        <v>1184</v>
      </c>
    </row>
    <row r="352" spans="1:12" x14ac:dyDescent="0.25">
      <c r="A352" s="1" t="s">
        <v>1185</v>
      </c>
      <c r="B352" t="s">
        <v>1186</v>
      </c>
      <c r="C352" t="s">
        <v>34</v>
      </c>
      <c r="D352" t="s">
        <v>35</v>
      </c>
      <c r="F352">
        <v>126.9</v>
      </c>
      <c r="G352" t="s">
        <v>36</v>
      </c>
    </row>
    <row r="353" spans="1:13" x14ac:dyDescent="0.25">
      <c r="A353" s="1" t="s">
        <v>1187</v>
      </c>
      <c r="B353" t="s">
        <v>1188</v>
      </c>
      <c r="C353" t="s">
        <v>34</v>
      </c>
      <c r="D353" t="s">
        <v>35</v>
      </c>
      <c r="F353">
        <v>126.9</v>
      </c>
      <c r="G353" t="s">
        <v>36</v>
      </c>
    </row>
    <row r="354" spans="1:13" x14ac:dyDescent="0.25">
      <c r="A354" s="1" t="s">
        <v>1189</v>
      </c>
      <c r="B354" t="s">
        <v>1190</v>
      </c>
      <c r="C354" t="s">
        <v>1122</v>
      </c>
      <c r="D354" t="s">
        <v>35</v>
      </c>
      <c r="F354">
        <v>147</v>
      </c>
      <c r="G354" t="s">
        <v>18</v>
      </c>
      <c r="H354" t="s">
        <v>470</v>
      </c>
      <c r="M354" t="s">
        <v>1124</v>
      </c>
    </row>
    <row r="355" spans="1:13" x14ac:dyDescent="0.25">
      <c r="A355" s="1" t="s">
        <v>1191</v>
      </c>
      <c r="B355" t="s">
        <v>1192</v>
      </c>
      <c r="C355" t="s">
        <v>475</v>
      </c>
      <c r="D355" t="s">
        <v>35</v>
      </c>
      <c r="F355">
        <v>226</v>
      </c>
      <c r="G355" t="s">
        <v>36</v>
      </c>
      <c r="H355" t="s">
        <v>470</v>
      </c>
    </row>
    <row r="356" spans="1:13" x14ac:dyDescent="0.25">
      <c r="A356" s="1" t="s">
        <v>1193</v>
      </c>
      <c r="B356" t="s">
        <v>1194</v>
      </c>
      <c r="C356" t="s">
        <v>475</v>
      </c>
      <c r="D356" t="s">
        <v>35</v>
      </c>
      <c r="F356">
        <v>226</v>
      </c>
      <c r="G356" t="s">
        <v>36</v>
      </c>
      <c r="H356" t="s">
        <v>470</v>
      </c>
    </row>
    <row r="357" spans="1:13" x14ac:dyDescent="0.25">
      <c r="A357" s="1" t="s">
        <v>1195</v>
      </c>
      <c r="B357" t="s">
        <v>1196</v>
      </c>
      <c r="D357" t="s">
        <v>35</v>
      </c>
      <c r="G357" t="s">
        <v>18</v>
      </c>
      <c r="H357" t="s">
        <v>479</v>
      </c>
    </row>
    <row r="358" spans="1:13" x14ac:dyDescent="0.25">
      <c r="A358" s="1" t="s">
        <v>1197</v>
      </c>
      <c r="B358" t="s">
        <v>1196</v>
      </c>
      <c r="D358" t="s">
        <v>35</v>
      </c>
      <c r="G358" t="s">
        <v>18</v>
      </c>
      <c r="H358" t="s">
        <v>479</v>
      </c>
    </row>
    <row r="359" spans="1:13" x14ac:dyDescent="0.25">
      <c r="A359" s="1" t="s">
        <v>1198</v>
      </c>
      <c r="B359" t="s">
        <v>1196</v>
      </c>
      <c r="D359" t="s">
        <v>35</v>
      </c>
      <c r="G359" t="s">
        <v>18</v>
      </c>
      <c r="H359" t="s">
        <v>479</v>
      </c>
    </row>
    <row r="360" spans="1:13" x14ac:dyDescent="0.25">
      <c r="A360" s="1" t="s">
        <v>1199</v>
      </c>
      <c r="B360" t="s">
        <v>1200</v>
      </c>
      <c r="C360" t="s">
        <v>1201</v>
      </c>
      <c r="D360" t="s">
        <v>35</v>
      </c>
      <c r="G360" t="s">
        <v>18</v>
      </c>
    </row>
    <row r="361" spans="1:13" s="7" customFormat="1" x14ac:dyDescent="0.25">
      <c r="A361" s="4" t="s">
        <v>1202</v>
      </c>
      <c r="B361" s="7" t="s">
        <v>1203</v>
      </c>
      <c r="D361" s="7" t="s">
        <v>35</v>
      </c>
      <c r="F361" s="7">
        <v>150</v>
      </c>
      <c r="G361" s="7" t="s">
        <v>36</v>
      </c>
      <c r="H361" s="7" t="s">
        <v>1204</v>
      </c>
    </row>
    <row r="362" spans="1:13" s="7" customFormat="1" x14ac:dyDescent="0.25">
      <c r="A362" s="4" t="s">
        <v>1205</v>
      </c>
      <c r="B362" s="7" t="s">
        <v>1203</v>
      </c>
      <c r="D362" s="7" t="s">
        <v>35</v>
      </c>
      <c r="F362" s="7">
        <v>150</v>
      </c>
      <c r="G362" s="7" t="s">
        <v>36</v>
      </c>
      <c r="H362" s="7" t="s">
        <v>1204</v>
      </c>
    </row>
    <row r="363" spans="1:13" s="7" customFormat="1" x14ac:dyDescent="0.25">
      <c r="A363" s="4" t="s">
        <v>1206</v>
      </c>
      <c r="B363" s="7" t="s">
        <v>1203</v>
      </c>
      <c r="D363" s="7" t="s">
        <v>35</v>
      </c>
      <c r="F363" s="7">
        <v>150</v>
      </c>
      <c r="G363" s="7" t="s">
        <v>36</v>
      </c>
      <c r="H363" s="7" t="s">
        <v>1204</v>
      </c>
    </row>
    <row r="364" spans="1:13" s="7" customFormat="1" x14ac:dyDescent="0.25">
      <c r="A364" s="4" t="s">
        <v>1207</v>
      </c>
      <c r="B364" s="7" t="s">
        <v>1208</v>
      </c>
      <c r="D364" s="7" t="s">
        <v>35</v>
      </c>
      <c r="F364" s="7">
        <v>150</v>
      </c>
      <c r="G364" s="7" t="s">
        <v>18</v>
      </c>
      <c r="H364" s="7" t="s">
        <v>1204</v>
      </c>
    </row>
    <row r="365" spans="1:13" s="7" customFormat="1" x14ac:dyDescent="0.25">
      <c r="A365" s="4" t="s">
        <v>1209</v>
      </c>
      <c r="B365" s="7" t="s">
        <v>1208</v>
      </c>
      <c r="D365" s="7" t="s">
        <v>35</v>
      </c>
      <c r="F365" s="7">
        <v>150</v>
      </c>
      <c r="G365" s="7" t="s">
        <v>18</v>
      </c>
      <c r="H365" s="7" t="s">
        <v>1204</v>
      </c>
    </row>
    <row r="366" spans="1:13" s="7" customFormat="1" x14ac:dyDescent="0.25">
      <c r="A366" s="4" t="s">
        <v>1210</v>
      </c>
      <c r="B366" s="7" t="s">
        <v>1208</v>
      </c>
      <c r="D366" s="7" t="s">
        <v>35</v>
      </c>
      <c r="F366" s="7">
        <v>150</v>
      </c>
      <c r="G366" s="7" t="s">
        <v>18</v>
      </c>
      <c r="H366" s="7" t="s">
        <v>1204</v>
      </c>
    </row>
    <row r="367" spans="1:13" x14ac:dyDescent="0.25">
      <c r="A367" s="1" t="s">
        <v>1211</v>
      </c>
      <c r="B367" t="s">
        <v>1212</v>
      </c>
      <c r="C367" t="s">
        <v>1213</v>
      </c>
      <c r="D367" t="s">
        <v>1214</v>
      </c>
      <c r="E367" t="s">
        <v>1215</v>
      </c>
      <c r="F367">
        <v>68.13</v>
      </c>
      <c r="G367" t="s">
        <v>18</v>
      </c>
      <c r="J367" t="s">
        <v>1216</v>
      </c>
      <c r="K367" t="s">
        <v>1211</v>
      </c>
      <c r="L367" t="s">
        <v>1211</v>
      </c>
    </row>
    <row r="368" spans="1:13" x14ac:dyDescent="0.25">
      <c r="A368" s="1" t="s">
        <v>1217</v>
      </c>
      <c r="B368" t="s">
        <v>1218</v>
      </c>
      <c r="C368" t="s">
        <v>1070</v>
      </c>
      <c r="D368" t="s">
        <v>35</v>
      </c>
      <c r="F368">
        <v>147</v>
      </c>
      <c r="G368" t="s">
        <v>18</v>
      </c>
      <c r="H368" t="s">
        <v>479</v>
      </c>
      <c r="M368" t="s">
        <v>1219</v>
      </c>
    </row>
    <row r="369" spans="1:13" x14ac:dyDescent="0.25">
      <c r="A369" s="1" t="s">
        <v>1220</v>
      </c>
      <c r="B369" t="s">
        <v>1221</v>
      </c>
      <c r="D369" t="s">
        <v>35</v>
      </c>
      <c r="G369" t="s">
        <v>18</v>
      </c>
      <c r="H369" t="s">
        <v>479</v>
      </c>
    </row>
    <row r="370" spans="1:13" x14ac:dyDescent="0.25">
      <c r="A370" s="1" t="s">
        <v>1222</v>
      </c>
      <c r="B370" t="s">
        <v>1223</v>
      </c>
      <c r="C370" t="s">
        <v>1070</v>
      </c>
      <c r="D370" t="s">
        <v>35</v>
      </c>
      <c r="F370">
        <v>147</v>
      </c>
      <c r="G370" t="s">
        <v>18</v>
      </c>
      <c r="H370" t="s">
        <v>479</v>
      </c>
      <c r="M370" t="s">
        <v>1219</v>
      </c>
    </row>
    <row r="371" spans="1:13" x14ac:dyDescent="0.25">
      <c r="A371" s="1" t="s">
        <v>1224</v>
      </c>
      <c r="B371" t="s">
        <v>1225</v>
      </c>
      <c r="D371" t="s">
        <v>35</v>
      </c>
      <c r="G371" t="s">
        <v>18</v>
      </c>
      <c r="H371" t="s">
        <v>479</v>
      </c>
    </row>
    <row r="372" spans="1:13" x14ac:dyDescent="0.25">
      <c r="A372" s="1" t="s">
        <v>1226</v>
      </c>
      <c r="B372" t="s">
        <v>1227</v>
      </c>
      <c r="C372" t="s">
        <v>1012</v>
      </c>
      <c r="D372" t="s">
        <v>35</v>
      </c>
      <c r="E372" t="s">
        <v>1228</v>
      </c>
      <c r="F372">
        <v>196.16</v>
      </c>
      <c r="G372" t="s">
        <v>18</v>
      </c>
      <c r="J372" t="s">
        <v>1229</v>
      </c>
      <c r="K372" t="s">
        <v>1226</v>
      </c>
      <c r="L372" t="s">
        <v>1226</v>
      </c>
    </row>
    <row r="373" spans="1:13" x14ac:dyDescent="0.25">
      <c r="A373" s="1" t="s">
        <v>1230</v>
      </c>
      <c r="B373" t="s">
        <v>1231</v>
      </c>
      <c r="C373" t="s">
        <v>1012</v>
      </c>
      <c r="D373" t="s">
        <v>35</v>
      </c>
      <c r="E373" t="s">
        <v>1232</v>
      </c>
      <c r="F373">
        <v>196.16</v>
      </c>
      <c r="G373" t="s">
        <v>18</v>
      </c>
      <c r="J373" t="s">
        <v>1233</v>
      </c>
      <c r="K373" t="s">
        <v>1230</v>
      </c>
      <c r="L373" t="s">
        <v>1230</v>
      </c>
    </row>
    <row r="374" spans="1:13" x14ac:dyDescent="0.25">
      <c r="A374" s="1" t="s">
        <v>1234</v>
      </c>
      <c r="B374" t="s">
        <v>1235</v>
      </c>
      <c r="C374" t="s">
        <v>1236</v>
      </c>
      <c r="D374" t="s">
        <v>35</v>
      </c>
      <c r="E374" t="s">
        <v>1237</v>
      </c>
      <c r="F374">
        <v>195.15</v>
      </c>
      <c r="G374" t="s">
        <v>18</v>
      </c>
      <c r="J374" t="s">
        <v>1238</v>
      </c>
      <c r="K374" t="s">
        <v>1239</v>
      </c>
      <c r="L374" t="s">
        <v>1234</v>
      </c>
    </row>
    <row r="375" spans="1:13" x14ac:dyDescent="0.25">
      <c r="A375" s="1" t="s">
        <v>1240</v>
      </c>
      <c r="B375" t="s">
        <v>1241</v>
      </c>
      <c r="C375" t="s">
        <v>1242</v>
      </c>
      <c r="D375" t="s">
        <v>35</v>
      </c>
      <c r="E375" t="s">
        <v>1243</v>
      </c>
      <c r="F375">
        <v>197.17</v>
      </c>
      <c r="G375" t="s">
        <v>18</v>
      </c>
      <c r="J375" t="s">
        <v>1244</v>
      </c>
      <c r="K375" t="s">
        <v>1245</v>
      </c>
      <c r="L375" t="s">
        <v>1246</v>
      </c>
    </row>
    <row r="376" spans="1:13" x14ac:dyDescent="0.25">
      <c r="A376" s="1" t="s">
        <v>1247</v>
      </c>
      <c r="C376" t="s">
        <v>1248</v>
      </c>
      <c r="D376" t="s">
        <v>35</v>
      </c>
      <c r="F376">
        <v>39.1</v>
      </c>
      <c r="G376" t="s">
        <v>36</v>
      </c>
      <c r="J376" t="s">
        <v>35</v>
      </c>
    </row>
    <row r="377" spans="1:13" x14ac:dyDescent="0.25">
      <c r="A377" s="1" t="s">
        <v>1249</v>
      </c>
      <c r="C377" t="s">
        <v>1248</v>
      </c>
      <c r="D377" t="s">
        <v>35</v>
      </c>
      <c r="F377">
        <v>39.1</v>
      </c>
      <c r="G377" t="s">
        <v>36</v>
      </c>
      <c r="J377" t="s">
        <v>35</v>
      </c>
    </row>
    <row r="378" spans="1:13" x14ac:dyDescent="0.25">
      <c r="A378" s="1" t="s">
        <v>1250</v>
      </c>
      <c r="C378" t="s">
        <v>1248</v>
      </c>
      <c r="D378" t="s">
        <v>35</v>
      </c>
      <c r="F378">
        <v>39.1</v>
      </c>
      <c r="G378" t="s">
        <v>36</v>
      </c>
      <c r="J378" t="s">
        <v>35</v>
      </c>
    </row>
    <row r="379" spans="1:13" x14ac:dyDescent="0.25">
      <c r="A379" s="1" t="s">
        <v>1251</v>
      </c>
      <c r="C379" t="s">
        <v>1248</v>
      </c>
      <c r="D379" t="s">
        <v>35</v>
      </c>
      <c r="F379">
        <v>39.1</v>
      </c>
      <c r="G379" t="s">
        <v>36</v>
      </c>
      <c r="J379" t="s">
        <v>35</v>
      </c>
    </row>
    <row r="380" spans="1:13" x14ac:dyDescent="0.25">
      <c r="A380" s="1" t="s">
        <v>1252</v>
      </c>
      <c r="B380" t="s">
        <v>1253</v>
      </c>
      <c r="C380" t="s">
        <v>1254</v>
      </c>
      <c r="D380" t="s">
        <v>35</v>
      </c>
      <c r="F380">
        <v>101.09</v>
      </c>
      <c r="G380" t="s">
        <v>18</v>
      </c>
      <c r="M380" t="s">
        <v>1255</v>
      </c>
    </row>
    <row r="381" spans="1:13" x14ac:dyDescent="0.25">
      <c r="A381" s="1" t="s">
        <v>1256</v>
      </c>
      <c r="B381" t="s">
        <v>1257</v>
      </c>
      <c r="D381" t="s">
        <v>35</v>
      </c>
      <c r="F381">
        <v>159.13</v>
      </c>
      <c r="G381" t="s">
        <v>18</v>
      </c>
      <c r="J381" t="s">
        <v>35</v>
      </c>
    </row>
    <row r="382" spans="1:13" x14ac:dyDescent="0.25">
      <c r="A382" s="1" t="s">
        <v>1258</v>
      </c>
      <c r="B382" t="s">
        <v>1259</v>
      </c>
      <c r="D382" t="s">
        <v>35</v>
      </c>
      <c r="F382">
        <v>159.13</v>
      </c>
      <c r="G382" t="s">
        <v>18</v>
      </c>
      <c r="J382" t="s">
        <v>35</v>
      </c>
    </row>
    <row r="383" spans="1:13" x14ac:dyDescent="0.25">
      <c r="A383" s="1" t="s">
        <v>1260</v>
      </c>
      <c r="B383" t="s">
        <v>1261</v>
      </c>
      <c r="D383" t="s">
        <v>35</v>
      </c>
      <c r="F383">
        <v>16.05</v>
      </c>
      <c r="G383" t="s">
        <v>18</v>
      </c>
      <c r="J383" t="s">
        <v>35</v>
      </c>
    </row>
    <row r="384" spans="1:13" x14ac:dyDescent="0.25">
      <c r="A384" s="1" t="s">
        <v>1262</v>
      </c>
      <c r="B384" t="s">
        <v>1263</v>
      </c>
      <c r="D384" t="s">
        <v>35</v>
      </c>
      <c r="F384">
        <v>28.01</v>
      </c>
      <c r="G384" t="s">
        <v>18</v>
      </c>
      <c r="J384" t="s">
        <v>35</v>
      </c>
    </row>
    <row r="385" spans="1:13" x14ac:dyDescent="0.25">
      <c r="A385" s="1" t="s">
        <v>1264</v>
      </c>
      <c r="B385" t="s">
        <v>1265</v>
      </c>
      <c r="C385" t="s">
        <v>1266</v>
      </c>
      <c r="D385" t="s">
        <v>1267</v>
      </c>
      <c r="E385" t="s">
        <v>1268</v>
      </c>
      <c r="F385">
        <v>136.26</v>
      </c>
      <c r="G385" t="s">
        <v>18</v>
      </c>
      <c r="J385" t="s">
        <v>1269</v>
      </c>
      <c r="M385" t="s">
        <v>1270</v>
      </c>
    </row>
    <row r="386" spans="1:13" x14ac:dyDescent="0.25">
      <c r="A386" s="1" t="s">
        <v>1271</v>
      </c>
      <c r="B386" t="s">
        <v>1272</v>
      </c>
      <c r="C386" t="s">
        <v>1273</v>
      </c>
      <c r="D386" t="s">
        <v>35</v>
      </c>
      <c r="E386" t="s">
        <v>1274</v>
      </c>
      <c r="F386">
        <v>185.27</v>
      </c>
      <c r="G386" t="s">
        <v>18</v>
      </c>
      <c r="J386" t="s">
        <v>1275</v>
      </c>
      <c r="M386" t="s">
        <v>1276</v>
      </c>
    </row>
    <row r="387" spans="1:13" x14ac:dyDescent="0.25">
      <c r="A387" s="1" t="s">
        <v>1277</v>
      </c>
      <c r="B387" t="s">
        <v>1278</v>
      </c>
      <c r="D387" t="s">
        <v>35</v>
      </c>
      <c r="F387">
        <v>68.13</v>
      </c>
      <c r="G387" t="s">
        <v>18</v>
      </c>
      <c r="J387" t="s">
        <v>35</v>
      </c>
    </row>
    <row r="388" spans="1:13" x14ac:dyDescent="0.25">
      <c r="A388" s="1" t="s">
        <v>1279</v>
      </c>
      <c r="B388" t="s">
        <v>1280</v>
      </c>
      <c r="D388" t="s">
        <v>35</v>
      </c>
      <c r="F388">
        <v>68.13</v>
      </c>
      <c r="G388" t="s">
        <v>18</v>
      </c>
      <c r="J388" t="s">
        <v>35</v>
      </c>
    </row>
    <row r="389" spans="1:13" x14ac:dyDescent="0.25">
      <c r="A389" s="1" t="s">
        <v>1281</v>
      </c>
      <c r="B389" t="s">
        <v>1282</v>
      </c>
      <c r="D389" t="s">
        <v>35</v>
      </c>
      <c r="F389">
        <v>159.16999999999999</v>
      </c>
      <c r="G389" t="s">
        <v>18</v>
      </c>
      <c r="J389" t="s">
        <v>35</v>
      </c>
    </row>
    <row r="390" spans="1:13" x14ac:dyDescent="0.25">
      <c r="A390" s="1" t="s">
        <v>1283</v>
      </c>
      <c r="B390" t="s">
        <v>1284</v>
      </c>
      <c r="D390" t="s">
        <v>35</v>
      </c>
      <c r="F390">
        <v>159.16999999999999</v>
      </c>
      <c r="G390" t="s">
        <v>18</v>
      </c>
      <c r="J390" t="s">
        <v>35</v>
      </c>
    </row>
    <row r="391" spans="1:13" x14ac:dyDescent="0.25">
      <c r="A391" s="1" t="s">
        <v>1285</v>
      </c>
      <c r="B391" t="s">
        <v>1286</v>
      </c>
      <c r="D391" t="s">
        <v>35</v>
      </c>
      <c r="F391">
        <v>48</v>
      </c>
      <c r="G391" t="s">
        <v>18</v>
      </c>
      <c r="J391" t="s">
        <v>35</v>
      </c>
    </row>
    <row r="392" spans="1:13" x14ac:dyDescent="0.25">
      <c r="A392" s="1" t="s">
        <v>1287</v>
      </c>
      <c r="B392" t="s">
        <v>1288</v>
      </c>
      <c r="D392" t="s">
        <v>35</v>
      </c>
      <c r="F392">
        <v>173.16</v>
      </c>
      <c r="G392" t="s">
        <v>18</v>
      </c>
      <c r="J392" t="s">
        <v>35</v>
      </c>
    </row>
    <row r="393" spans="1:13" x14ac:dyDescent="0.25">
      <c r="A393" s="1" t="s">
        <v>1289</v>
      </c>
      <c r="B393" t="s">
        <v>1290</v>
      </c>
      <c r="D393" t="s">
        <v>35</v>
      </c>
      <c r="F393">
        <v>173.16</v>
      </c>
      <c r="G393" t="s">
        <v>18</v>
      </c>
      <c r="J393" t="s">
        <v>35</v>
      </c>
    </row>
    <row r="394" spans="1:13" x14ac:dyDescent="0.25">
      <c r="A394" s="1" t="s">
        <v>1291</v>
      </c>
      <c r="B394" t="s">
        <v>1292</v>
      </c>
      <c r="C394" t="s">
        <v>1293</v>
      </c>
      <c r="D394" t="s">
        <v>35</v>
      </c>
      <c r="F394">
        <v>154.19</v>
      </c>
      <c r="G394" t="s">
        <v>18</v>
      </c>
    </row>
    <row r="395" spans="1:13" x14ac:dyDescent="0.25">
      <c r="A395" s="1" t="s">
        <v>1294</v>
      </c>
      <c r="B395" t="s">
        <v>1295</v>
      </c>
      <c r="C395" t="s">
        <v>1293</v>
      </c>
      <c r="D395" t="s">
        <v>35</v>
      </c>
      <c r="F395">
        <v>154.19</v>
      </c>
      <c r="G395" t="s">
        <v>36</v>
      </c>
      <c r="J395" t="s">
        <v>35</v>
      </c>
    </row>
    <row r="396" spans="1:13" x14ac:dyDescent="0.25">
      <c r="A396" s="1" t="s">
        <v>1296</v>
      </c>
      <c r="B396" t="s">
        <v>1297</v>
      </c>
      <c r="D396" t="s">
        <v>35</v>
      </c>
      <c r="F396">
        <v>187.19</v>
      </c>
      <c r="G396" t="s">
        <v>18</v>
      </c>
      <c r="J396" t="s">
        <v>35</v>
      </c>
    </row>
    <row r="397" spans="1:13" x14ac:dyDescent="0.25">
      <c r="A397" s="1" t="s">
        <v>1298</v>
      </c>
      <c r="B397" t="s">
        <v>1299</v>
      </c>
      <c r="D397" t="s">
        <v>35</v>
      </c>
      <c r="F397">
        <v>187.19</v>
      </c>
      <c r="G397" t="s">
        <v>18</v>
      </c>
      <c r="J397" t="s">
        <v>35</v>
      </c>
    </row>
    <row r="398" spans="1:13" x14ac:dyDescent="0.25">
      <c r="A398" s="1" t="s">
        <v>1300</v>
      </c>
      <c r="B398" t="s">
        <v>1301</v>
      </c>
      <c r="C398" t="s">
        <v>1302</v>
      </c>
      <c r="D398" t="s">
        <v>1303</v>
      </c>
      <c r="E398" t="s">
        <v>1304</v>
      </c>
      <c r="F398">
        <v>70.099999999999994</v>
      </c>
      <c r="G398" t="s">
        <v>18</v>
      </c>
      <c r="J398" t="s">
        <v>1300</v>
      </c>
    </row>
    <row r="399" spans="1:13" x14ac:dyDescent="0.25">
      <c r="A399" s="1" t="s">
        <v>1305</v>
      </c>
      <c r="B399" t="s">
        <v>1306</v>
      </c>
      <c r="C399" t="s">
        <v>1307</v>
      </c>
      <c r="D399" t="s">
        <v>1308</v>
      </c>
      <c r="E399" t="s">
        <v>1309</v>
      </c>
      <c r="F399">
        <v>101.09</v>
      </c>
      <c r="G399" t="s">
        <v>18</v>
      </c>
      <c r="J399" t="s">
        <v>1310</v>
      </c>
      <c r="K399" t="s">
        <v>1305</v>
      </c>
      <c r="L399" t="s">
        <v>1305</v>
      </c>
    </row>
    <row r="400" spans="1:13" x14ac:dyDescent="0.25">
      <c r="A400" s="1" t="s">
        <v>1311</v>
      </c>
      <c r="B400" t="s">
        <v>1312</v>
      </c>
      <c r="C400" t="s">
        <v>1313</v>
      </c>
      <c r="D400" t="s">
        <v>35</v>
      </c>
      <c r="E400" t="s">
        <v>1314</v>
      </c>
      <c r="F400">
        <v>102.1</v>
      </c>
      <c r="G400" t="s">
        <v>18</v>
      </c>
      <c r="J400" t="s">
        <v>1315</v>
      </c>
      <c r="K400" t="s">
        <v>1316</v>
      </c>
      <c r="L400" t="s">
        <v>1317</v>
      </c>
    </row>
    <row r="401" spans="1:12" x14ac:dyDescent="0.25">
      <c r="A401" s="1" t="s">
        <v>1318</v>
      </c>
      <c r="B401" t="s">
        <v>1319</v>
      </c>
      <c r="C401" t="s">
        <v>1320</v>
      </c>
      <c r="D401" t="s">
        <v>35</v>
      </c>
      <c r="F401">
        <v>149</v>
      </c>
      <c r="G401" t="s">
        <v>18</v>
      </c>
      <c r="H401" t="s">
        <v>479</v>
      </c>
    </row>
    <row r="402" spans="1:12" x14ac:dyDescent="0.25">
      <c r="A402" s="1" t="s">
        <v>1321</v>
      </c>
      <c r="B402" t="s">
        <v>1322</v>
      </c>
      <c r="C402" t="s">
        <v>1323</v>
      </c>
      <c r="D402" t="s">
        <v>1324</v>
      </c>
      <c r="E402" t="s">
        <v>1325</v>
      </c>
      <c r="F402">
        <v>180.1</v>
      </c>
      <c r="G402" t="s">
        <v>18</v>
      </c>
      <c r="J402" t="s">
        <v>1326</v>
      </c>
      <c r="K402" t="s">
        <v>1321</v>
      </c>
      <c r="L402" t="s">
        <v>1321</v>
      </c>
    </row>
    <row r="403" spans="1:12" x14ac:dyDescent="0.25">
      <c r="A403" s="1" t="s">
        <v>1327</v>
      </c>
      <c r="B403" t="s">
        <v>274</v>
      </c>
      <c r="C403" t="s">
        <v>1328</v>
      </c>
      <c r="D403" t="s">
        <v>1329</v>
      </c>
      <c r="E403" t="s">
        <v>1330</v>
      </c>
      <c r="F403">
        <v>86.09</v>
      </c>
      <c r="G403" t="s">
        <v>18</v>
      </c>
      <c r="H403" t="s">
        <v>566</v>
      </c>
      <c r="J403" t="s">
        <v>1331</v>
      </c>
    </row>
    <row r="404" spans="1:12" x14ac:dyDescent="0.25">
      <c r="A404" s="1" t="s">
        <v>1332</v>
      </c>
      <c r="B404" t="s">
        <v>1333</v>
      </c>
      <c r="C404" t="s">
        <v>1320</v>
      </c>
      <c r="D404" t="s">
        <v>35</v>
      </c>
      <c r="G404" t="s">
        <v>18</v>
      </c>
    </row>
    <row r="405" spans="1:12" x14ac:dyDescent="0.25">
      <c r="A405" s="1" t="s">
        <v>1334</v>
      </c>
      <c r="B405" t="s">
        <v>1335</v>
      </c>
      <c r="C405" t="s">
        <v>1336</v>
      </c>
      <c r="D405" t="s">
        <v>35</v>
      </c>
      <c r="G405" t="s">
        <v>18</v>
      </c>
    </row>
    <row r="406" spans="1:12" x14ac:dyDescent="0.25">
      <c r="A406" s="1" t="s">
        <v>1337</v>
      </c>
      <c r="B406" t="s">
        <v>1338</v>
      </c>
      <c r="C406" t="s">
        <v>1339</v>
      </c>
      <c r="D406" t="s">
        <v>35</v>
      </c>
      <c r="G406" t="s">
        <v>18</v>
      </c>
      <c r="H406" t="s">
        <v>479</v>
      </c>
    </row>
    <row r="407" spans="1:12" x14ac:dyDescent="0.25">
      <c r="A407" s="1" t="s">
        <v>1340</v>
      </c>
      <c r="B407" t="s">
        <v>1341</v>
      </c>
      <c r="C407" t="s">
        <v>1342</v>
      </c>
      <c r="D407" t="s">
        <v>35</v>
      </c>
      <c r="G407" t="s">
        <v>18</v>
      </c>
    </row>
    <row r="408" spans="1:12" x14ac:dyDescent="0.25">
      <c r="A408" s="1" t="s">
        <v>1343</v>
      </c>
      <c r="B408" t="s">
        <v>1344</v>
      </c>
      <c r="C408" t="s">
        <v>1345</v>
      </c>
      <c r="D408" t="s">
        <v>1346</v>
      </c>
      <c r="E408" t="s">
        <v>1347</v>
      </c>
      <c r="F408">
        <v>76.06</v>
      </c>
      <c r="G408" t="s">
        <v>18</v>
      </c>
      <c r="J408" t="s">
        <v>1348</v>
      </c>
    </row>
    <row r="409" spans="1:12" x14ac:dyDescent="0.25">
      <c r="A409" s="1" t="s">
        <v>1349</v>
      </c>
      <c r="B409" t="s">
        <v>1350</v>
      </c>
      <c r="C409" t="s">
        <v>1351</v>
      </c>
      <c r="D409" t="s">
        <v>1352</v>
      </c>
      <c r="E409" t="s">
        <v>1353</v>
      </c>
      <c r="F409">
        <v>86.133999999999986</v>
      </c>
      <c r="G409" t="s">
        <v>18</v>
      </c>
      <c r="H409" t="s">
        <v>566</v>
      </c>
      <c r="J409" t="s">
        <v>1349</v>
      </c>
    </row>
    <row r="410" spans="1:12" x14ac:dyDescent="0.25">
      <c r="A410" s="1" t="s">
        <v>1354</v>
      </c>
      <c r="B410" t="s">
        <v>274</v>
      </c>
      <c r="C410" t="s">
        <v>1355</v>
      </c>
      <c r="D410" t="s">
        <v>1356</v>
      </c>
      <c r="E410" t="s">
        <v>1357</v>
      </c>
      <c r="F410">
        <v>104.105</v>
      </c>
      <c r="G410" t="s">
        <v>18</v>
      </c>
      <c r="H410" t="s">
        <v>566</v>
      </c>
      <c r="J410" t="s">
        <v>1358</v>
      </c>
    </row>
    <row r="411" spans="1:12" x14ac:dyDescent="0.25">
      <c r="A411" s="1" t="s">
        <v>1359</v>
      </c>
      <c r="B411" t="s">
        <v>1360</v>
      </c>
      <c r="C411" t="s">
        <v>1361</v>
      </c>
      <c r="D411" t="s">
        <v>35</v>
      </c>
      <c r="E411" t="s">
        <v>1362</v>
      </c>
      <c r="F411">
        <v>75.05</v>
      </c>
      <c r="G411" t="s">
        <v>18</v>
      </c>
      <c r="J411" t="s">
        <v>1363</v>
      </c>
      <c r="K411" t="s">
        <v>1364</v>
      </c>
      <c r="L411" t="s">
        <v>1365</v>
      </c>
    </row>
    <row r="412" spans="1:12" x14ac:dyDescent="0.25">
      <c r="A412" s="1" t="s">
        <v>1366</v>
      </c>
      <c r="B412" t="s">
        <v>1367</v>
      </c>
      <c r="C412" t="s">
        <v>1355</v>
      </c>
      <c r="D412" t="s">
        <v>1368</v>
      </c>
      <c r="E412" t="s">
        <v>1369</v>
      </c>
      <c r="F412">
        <v>104.12</v>
      </c>
      <c r="G412" t="s">
        <v>18</v>
      </c>
      <c r="J412" t="s">
        <v>1370</v>
      </c>
      <c r="K412" t="s">
        <v>1371</v>
      </c>
      <c r="L412" t="s">
        <v>1366</v>
      </c>
    </row>
    <row r="413" spans="1:12" x14ac:dyDescent="0.25">
      <c r="A413" s="1" t="s">
        <v>1372</v>
      </c>
      <c r="B413" t="s">
        <v>1373</v>
      </c>
      <c r="C413" t="s">
        <v>1328</v>
      </c>
      <c r="D413" t="s">
        <v>35</v>
      </c>
      <c r="E413" t="s">
        <v>1374</v>
      </c>
      <c r="F413">
        <v>86.1</v>
      </c>
      <c r="G413" t="s">
        <v>18</v>
      </c>
      <c r="J413" t="s">
        <v>1375</v>
      </c>
      <c r="K413" t="s">
        <v>1376</v>
      </c>
      <c r="L413" t="s">
        <v>1377</v>
      </c>
    </row>
    <row r="414" spans="1:12" x14ac:dyDescent="0.25">
      <c r="A414" s="1" t="s">
        <v>1378</v>
      </c>
      <c r="B414" t="s">
        <v>1379</v>
      </c>
      <c r="C414" t="s">
        <v>1380</v>
      </c>
      <c r="D414" t="s">
        <v>35</v>
      </c>
      <c r="E414" t="s">
        <v>1381</v>
      </c>
      <c r="F414">
        <v>149.11000000000001</v>
      </c>
      <c r="G414" t="s">
        <v>18</v>
      </c>
      <c r="J414" t="s">
        <v>1382</v>
      </c>
      <c r="K414" t="s">
        <v>1383</v>
      </c>
      <c r="L414" t="s">
        <v>1378</v>
      </c>
    </row>
    <row r="415" spans="1:12" x14ac:dyDescent="0.25">
      <c r="A415" s="1" t="s">
        <v>1384</v>
      </c>
      <c r="B415" t="s">
        <v>1385</v>
      </c>
      <c r="C415" t="s">
        <v>1386</v>
      </c>
      <c r="D415" t="s">
        <v>35</v>
      </c>
      <c r="E415" t="s">
        <v>1387</v>
      </c>
      <c r="F415">
        <v>149.11000000000001</v>
      </c>
      <c r="G415" t="s">
        <v>18</v>
      </c>
      <c r="J415" t="s">
        <v>1388</v>
      </c>
      <c r="K415" t="s">
        <v>1389</v>
      </c>
      <c r="L415" t="s">
        <v>1390</v>
      </c>
    </row>
    <row r="416" spans="1:12" x14ac:dyDescent="0.25">
      <c r="A416" s="1" t="s">
        <v>1391</v>
      </c>
      <c r="B416" t="s">
        <v>1392</v>
      </c>
      <c r="C416" t="s">
        <v>1393</v>
      </c>
      <c r="D416" t="s">
        <v>35</v>
      </c>
      <c r="E416" t="s">
        <v>1394</v>
      </c>
      <c r="F416">
        <v>120.12</v>
      </c>
      <c r="G416" t="s">
        <v>18</v>
      </c>
      <c r="J416" t="s">
        <v>1395</v>
      </c>
      <c r="K416" t="s">
        <v>1396</v>
      </c>
      <c r="L416" t="s">
        <v>1397</v>
      </c>
    </row>
    <row r="417" spans="1:13" x14ac:dyDescent="0.25">
      <c r="A417" s="1" t="s">
        <v>1398</v>
      </c>
      <c r="B417" t="s">
        <v>1399</v>
      </c>
      <c r="C417" t="s">
        <v>1400</v>
      </c>
      <c r="D417" t="s">
        <v>35</v>
      </c>
      <c r="E417" t="s">
        <v>1401</v>
      </c>
      <c r="F417">
        <v>119.11</v>
      </c>
      <c r="G417" t="s">
        <v>18</v>
      </c>
      <c r="J417" t="s">
        <v>1402</v>
      </c>
      <c r="K417" t="s">
        <v>1398</v>
      </c>
      <c r="L417" t="s">
        <v>1398</v>
      </c>
    </row>
    <row r="418" spans="1:13" x14ac:dyDescent="0.25">
      <c r="A418" s="1" t="s">
        <v>1403</v>
      </c>
      <c r="B418" t="s">
        <v>1404</v>
      </c>
      <c r="C418" t="s">
        <v>1405</v>
      </c>
      <c r="D418" t="s">
        <v>35</v>
      </c>
      <c r="E418" t="s">
        <v>1406</v>
      </c>
      <c r="F418">
        <v>124</v>
      </c>
      <c r="G418" t="s">
        <v>18</v>
      </c>
      <c r="J418" t="s">
        <v>1407</v>
      </c>
      <c r="M418" t="s">
        <v>1408</v>
      </c>
    </row>
    <row r="419" spans="1:13" x14ac:dyDescent="0.25">
      <c r="A419" s="1" t="s">
        <v>1409</v>
      </c>
      <c r="B419" t="s">
        <v>1410</v>
      </c>
      <c r="C419" t="s">
        <v>1411</v>
      </c>
      <c r="D419" t="s">
        <v>1412</v>
      </c>
      <c r="E419" t="s">
        <v>1413</v>
      </c>
      <c r="F419">
        <v>72.11</v>
      </c>
      <c r="G419" t="s">
        <v>18</v>
      </c>
      <c r="J419" t="s">
        <v>1409</v>
      </c>
    </row>
    <row r="420" spans="1:13" x14ac:dyDescent="0.25">
      <c r="A420" s="1" t="s">
        <v>1414</v>
      </c>
      <c r="B420" t="s">
        <v>1415</v>
      </c>
      <c r="C420" t="s">
        <v>1416</v>
      </c>
      <c r="D420" t="s">
        <v>1417</v>
      </c>
      <c r="E420" t="s">
        <v>1418</v>
      </c>
      <c r="F420">
        <v>77.05</v>
      </c>
      <c r="G420" t="s">
        <v>18</v>
      </c>
      <c r="J420" t="s">
        <v>1419</v>
      </c>
    </row>
    <row r="421" spans="1:13" x14ac:dyDescent="0.25">
      <c r="A421" s="1" t="s">
        <v>1420</v>
      </c>
      <c r="B421" t="s">
        <v>274</v>
      </c>
      <c r="C421" t="s">
        <v>1421</v>
      </c>
      <c r="D421" t="s">
        <v>1422</v>
      </c>
      <c r="E421" t="s">
        <v>1423</v>
      </c>
      <c r="F421">
        <v>88.061999999999998</v>
      </c>
      <c r="G421" t="s">
        <v>18</v>
      </c>
      <c r="H421" t="s">
        <v>566</v>
      </c>
      <c r="J421" t="s">
        <v>1424</v>
      </c>
    </row>
    <row r="422" spans="1:13" x14ac:dyDescent="0.25">
      <c r="A422" s="1" t="s">
        <v>1425</v>
      </c>
      <c r="B422" t="s">
        <v>1426</v>
      </c>
      <c r="C422" t="s">
        <v>1427</v>
      </c>
      <c r="D422" t="s">
        <v>1428</v>
      </c>
      <c r="E422" t="s">
        <v>1429</v>
      </c>
      <c r="F422">
        <v>72.069999999999993</v>
      </c>
      <c r="G422" t="s">
        <v>18</v>
      </c>
      <c r="J422" t="s">
        <v>1430</v>
      </c>
      <c r="K422" t="s">
        <v>1425</v>
      </c>
      <c r="L422" t="s">
        <v>1425</v>
      </c>
    </row>
    <row r="423" spans="1:13" x14ac:dyDescent="0.25">
      <c r="A423" s="1" t="s">
        <v>1431</v>
      </c>
      <c r="B423" t="s">
        <v>274</v>
      </c>
      <c r="C423" t="s">
        <v>1421</v>
      </c>
      <c r="D423" t="s">
        <v>1432</v>
      </c>
      <c r="E423" t="s">
        <v>1433</v>
      </c>
      <c r="F423">
        <v>88.061999999999983</v>
      </c>
      <c r="G423" t="s">
        <v>18</v>
      </c>
      <c r="H423" t="s">
        <v>566</v>
      </c>
      <c r="J423" t="s">
        <v>1434</v>
      </c>
    </row>
    <row r="424" spans="1:13" x14ac:dyDescent="0.25">
      <c r="A424" s="1" t="s">
        <v>1435</v>
      </c>
      <c r="B424" t="s">
        <v>1436</v>
      </c>
      <c r="C424" t="s">
        <v>1416</v>
      </c>
      <c r="D424" t="s">
        <v>35</v>
      </c>
      <c r="G424" t="s">
        <v>18</v>
      </c>
      <c r="H424" t="s">
        <v>479</v>
      </c>
    </row>
    <row r="425" spans="1:13" x14ac:dyDescent="0.25">
      <c r="A425" s="1" t="s">
        <v>1437</v>
      </c>
      <c r="B425" t="s">
        <v>1438</v>
      </c>
      <c r="C425" t="s">
        <v>1439</v>
      </c>
      <c r="D425" t="s">
        <v>1440</v>
      </c>
      <c r="E425" t="s">
        <v>1441</v>
      </c>
      <c r="F425">
        <v>47.04</v>
      </c>
      <c r="G425" t="s">
        <v>18</v>
      </c>
      <c r="J425" t="s">
        <v>1439</v>
      </c>
      <c r="K425" t="s">
        <v>1442</v>
      </c>
      <c r="L425" t="s">
        <v>1437</v>
      </c>
    </row>
    <row r="426" spans="1:13" x14ac:dyDescent="0.25">
      <c r="A426" s="1" t="s">
        <v>1443</v>
      </c>
      <c r="B426" t="s">
        <v>1444</v>
      </c>
      <c r="C426" t="s">
        <v>1445</v>
      </c>
      <c r="D426" t="s">
        <v>35</v>
      </c>
      <c r="F426">
        <v>114</v>
      </c>
      <c r="G426" t="s">
        <v>18</v>
      </c>
      <c r="H426" t="s">
        <v>479</v>
      </c>
    </row>
    <row r="427" spans="1:13" x14ac:dyDescent="0.25">
      <c r="A427" s="1" t="s">
        <v>1446</v>
      </c>
      <c r="B427" t="s">
        <v>1447</v>
      </c>
      <c r="D427" t="s">
        <v>35</v>
      </c>
      <c r="G427" t="s">
        <v>18</v>
      </c>
      <c r="H427" t="s">
        <v>479</v>
      </c>
    </row>
    <row r="428" spans="1:13" x14ac:dyDescent="0.25">
      <c r="A428" s="1" t="s">
        <v>1448</v>
      </c>
      <c r="B428" t="s">
        <v>1449</v>
      </c>
      <c r="C428" t="s">
        <v>1450</v>
      </c>
      <c r="D428" t="s">
        <v>345</v>
      </c>
      <c r="E428" t="s">
        <v>1451</v>
      </c>
      <c r="F428">
        <v>32.049999999999997</v>
      </c>
      <c r="G428" t="s">
        <v>18</v>
      </c>
      <c r="J428" t="s">
        <v>1450</v>
      </c>
    </row>
    <row r="429" spans="1:13" x14ac:dyDescent="0.25">
      <c r="A429" s="1" t="s">
        <v>1452</v>
      </c>
      <c r="B429" t="s">
        <v>1453</v>
      </c>
      <c r="C429" t="s">
        <v>1454</v>
      </c>
      <c r="D429" t="s">
        <v>35</v>
      </c>
      <c r="E429" t="s">
        <v>1455</v>
      </c>
      <c r="F429">
        <v>14.01</v>
      </c>
      <c r="G429" t="s">
        <v>36</v>
      </c>
      <c r="J429" t="s">
        <v>2033</v>
      </c>
    </row>
    <row r="430" spans="1:13" x14ac:dyDescent="0.25">
      <c r="A430" s="1" t="s">
        <v>1456</v>
      </c>
      <c r="B430" s="2" t="s">
        <v>2025</v>
      </c>
      <c r="C430" t="s">
        <v>1457</v>
      </c>
      <c r="D430" t="s">
        <v>35</v>
      </c>
      <c r="E430" t="s">
        <v>1458</v>
      </c>
      <c r="F430">
        <v>215.28</v>
      </c>
      <c r="G430" t="s">
        <v>18</v>
      </c>
      <c r="J430" t="s">
        <v>2031</v>
      </c>
      <c r="M430" t="s">
        <v>1459</v>
      </c>
    </row>
    <row r="431" spans="1:13" x14ac:dyDescent="0.25">
      <c r="A431" s="1" t="s">
        <v>1460</v>
      </c>
      <c r="B431" s="2" t="s">
        <v>2026</v>
      </c>
      <c r="C431" t="s">
        <v>1457</v>
      </c>
      <c r="D431" t="s">
        <v>35</v>
      </c>
      <c r="E431" t="s">
        <v>1461</v>
      </c>
      <c r="F431">
        <v>215.28</v>
      </c>
      <c r="G431" t="s">
        <v>18</v>
      </c>
      <c r="J431" t="s">
        <v>2032</v>
      </c>
      <c r="M431" t="s">
        <v>1459</v>
      </c>
    </row>
    <row r="432" spans="1:13" x14ac:dyDescent="0.25">
      <c r="A432" s="1" t="s">
        <v>1462</v>
      </c>
      <c r="B432" t="s">
        <v>1463</v>
      </c>
      <c r="D432" t="s">
        <v>35</v>
      </c>
      <c r="G432" t="s">
        <v>18</v>
      </c>
      <c r="H432" t="s">
        <v>1464</v>
      </c>
    </row>
    <row r="433" spans="1:12" x14ac:dyDescent="0.25">
      <c r="A433" s="1" t="s">
        <v>1465</v>
      </c>
      <c r="B433" t="s">
        <v>1466</v>
      </c>
      <c r="C433" t="s">
        <v>107</v>
      </c>
      <c r="D433" t="s">
        <v>35</v>
      </c>
      <c r="F433">
        <v>12.01</v>
      </c>
      <c r="G433" t="s">
        <v>36</v>
      </c>
    </row>
    <row r="434" spans="1:12" x14ac:dyDescent="0.25">
      <c r="A434" s="1" t="s">
        <v>1467</v>
      </c>
      <c r="B434" t="s">
        <v>1468</v>
      </c>
      <c r="C434" t="s">
        <v>107</v>
      </c>
      <c r="D434" t="s">
        <v>35</v>
      </c>
      <c r="F434">
        <v>12.01</v>
      </c>
      <c r="G434" t="s">
        <v>36</v>
      </c>
    </row>
    <row r="435" spans="1:12" x14ac:dyDescent="0.25">
      <c r="A435" s="1" t="s">
        <v>1469</v>
      </c>
      <c r="B435" t="s">
        <v>1470</v>
      </c>
      <c r="C435" t="s">
        <v>1471</v>
      </c>
      <c r="D435" t="s">
        <v>1472</v>
      </c>
      <c r="E435" t="s">
        <v>1473</v>
      </c>
      <c r="F435">
        <v>48.05</v>
      </c>
      <c r="G435" t="s">
        <v>18</v>
      </c>
      <c r="J435" t="s">
        <v>1471</v>
      </c>
    </row>
    <row r="436" spans="1:12" x14ac:dyDescent="0.25">
      <c r="A436" s="1" t="s">
        <v>1474</v>
      </c>
      <c r="B436" t="s">
        <v>1475</v>
      </c>
      <c r="C436" t="s">
        <v>1476</v>
      </c>
      <c r="D436" t="s">
        <v>35</v>
      </c>
      <c r="E436" t="s">
        <v>1477</v>
      </c>
      <c r="F436">
        <v>147.1</v>
      </c>
      <c r="G436" t="s">
        <v>18</v>
      </c>
      <c r="J436" t="s">
        <v>1478</v>
      </c>
      <c r="K436" t="s">
        <v>1479</v>
      </c>
      <c r="L436" t="s">
        <v>1480</v>
      </c>
    </row>
    <row r="437" spans="1:12" x14ac:dyDescent="0.25">
      <c r="A437" s="1" t="s">
        <v>1481</v>
      </c>
      <c r="B437" t="s">
        <v>1482</v>
      </c>
      <c r="C437" t="s">
        <v>1483</v>
      </c>
      <c r="D437" t="s">
        <v>1484</v>
      </c>
      <c r="E437" t="s">
        <v>1485</v>
      </c>
      <c r="F437">
        <v>93.05</v>
      </c>
      <c r="G437" t="s">
        <v>18</v>
      </c>
      <c r="J437" t="s">
        <v>1486</v>
      </c>
      <c r="K437" t="s">
        <v>1487</v>
      </c>
      <c r="L437" t="s">
        <v>1481</v>
      </c>
    </row>
    <row r="438" spans="1:12" x14ac:dyDescent="0.25">
      <c r="A438" s="1" t="s">
        <v>1488</v>
      </c>
      <c r="B438" t="s">
        <v>1489</v>
      </c>
      <c r="C438" t="s">
        <v>1490</v>
      </c>
      <c r="D438" t="s">
        <v>35</v>
      </c>
      <c r="G438" t="s">
        <v>18</v>
      </c>
    </row>
    <row r="439" spans="1:12" x14ac:dyDescent="0.25">
      <c r="A439" s="1" t="s">
        <v>1491</v>
      </c>
      <c r="B439" t="s">
        <v>1492</v>
      </c>
      <c r="C439" t="s">
        <v>1493</v>
      </c>
      <c r="D439" t="s">
        <v>35</v>
      </c>
      <c r="G439" t="s">
        <v>18</v>
      </c>
    </row>
    <row r="440" spans="1:12" x14ac:dyDescent="0.25">
      <c r="A440" s="1" t="s">
        <v>1494</v>
      </c>
      <c r="B440" t="s">
        <v>1495</v>
      </c>
      <c r="C440" t="s">
        <v>1496</v>
      </c>
      <c r="D440" t="s">
        <v>1497</v>
      </c>
      <c r="E440" t="s">
        <v>1498</v>
      </c>
      <c r="F440">
        <v>96.1</v>
      </c>
      <c r="G440" t="s">
        <v>36</v>
      </c>
      <c r="J440" t="s">
        <v>1494</v>
      </c>
    </row>
    <row r="441" spans="1:12" x14ac:dyDescent="0.25">
      <c r="A441" s="1" t="s">
        <v>1499</v>
      </c>
      <c r="B441" t="s">
        <v>1500</v>
      </c>
      <c r="D441" t="s">
        <v>35</v>
      </c>
      <c r="E441" t="s">
        <v>1501</v>
      </c>
      <c r="F441">
        <v>136.26</v>
      </c>
      <c r="G441" t="s">
        <v>18</v>
      </c>
      <c r="J441" t="s">
        <v>1502</v>
      </c>
    </row>
    <row r="442" spans="1:12" x14ac:dyDescent="0.25">
      <c r="A442" s="1" t="s">
        <v>1503</v>
      </c>
      <c r="B442" t="s">
        <v>1504</v>
      </c>
      <c r="D442" t="s">
        <v>35</v>
      </c>
      <c r="E442" t="s">
        <v>1505</v>
      </c>
      <c r="F442">
        <v>136.26</v>
      </c>
      <c r="G442" t="s">
        <v>18</v>
      </c>
    </row>
    <row r="443" spans="1:12" x14ac:dyDescent="0.25">
      <c r="A443" s="1" t="s">
        <v>1506</v>
      </c>
      <c r="B443" t="s">
        <v>1507</v>
      </c>
      <c r="C443" t="s">
        <v>1508</v>
      </c>
      <c r="D443" t="s">
        <v>1509</v>
      </c>
      <c r="E443" t="s">
        <v>1510</v>
      </c>
      <c r="F443">
        <v>70.09</v>
      </c>
      <c r="G443" t="s">
        <v>18</v>
      </c>
      <c r="J443" t="s">
        <v>1506</v>
      </c>
    </row>
    <row r="444" spans="1:12" x14ac:dyDescent="0.25">
      <c r="A444" s="1" t="s">
        <v>1511</v>
      </c>
      <c r="B444" t="s">
        <v>1512</v>
      </c>
      <c r="C444" t="s">
        <v>1513</v>
      </c>
      <c r="D444" t="s">
        <v>1514</v>
      </c>
      <c r="E444" t="s">
        <v>1515</v>
      </c>
      <c r="F444">
        <v>105.13</v>
      </c>
      <c r="G444" t="s">
        <v>18</v>
      </c>
      <c r="J444" t="s">
        <v>1516</v>
      </c>
      <c r="K444" t="s">
        <v>1517</v>
      </c>
      <c r="L444" t="s">
        <v>1511</v>
      </c>
    </row>
    <row r="445" spans="1:12" x14ac:dyDescent="0.25">
      <c r="A445" s="1" t="s">
        <v>1518</v>
      </c>
      <c r="B445" t="s">
        <v>1519</v>
      </c>
      <c r="C445" t="s">
        <v>672</v>
      </c>
      <c r="D445" t="s">
        <v>1520</v>
      </c>
      <c r="E445" t="s">
        <v>1521</v>
      </c>
      <c r="F445">
        <v>102.1</v>
      </c>
      <c r="G445" t="s">
        <v>18</v>
      </c>
      <c r="J445" t="s">
        <v>1522</v>
      </c>
      <c r="K445" t="s">
        <v>1523</v>
      </c>
      <c r="L445" t="s">
        <v>1518</v>
      </c>
    </row>
    <row r="446" spans="1:12" x14ac:dyDescent="0.25">
      <c r="A446" s="1" t="s">
        <v>1524</v>
      </c>
      <c r="B446" t="s">
        <v>1525</v>
      </c>
      <c r="C446" t="s">
        <v>1526</v>
      </c>
      <c r="D446" t="s">
        <v>35</v>
      </c>
      <c r="E446" t="s">
        <v>1527</v>
      </c>
      <c r="F446">
        <v>102.1</v>
      </c>
      <c r="G446" t="s">
        <v>18</v>
      </c>
      <c r="J446" t="s">
        <v>1528</v>
      </c>
      <c r="K446" t="s">
        <v>1529</v>
      </c>
      <c r="L446" t="s">
        <v>1530</v>
      </c>
    </row>
    <row r="447" spans="1:12" x14ac:dyDescent="0.25">
      <c r="A447" s="1" t="s">
        <v>1531</v>
      </c>
      <c r="B447" t="s">
        <v>1532</v>
      </c>
      <c r="C447" t="s">
        <v>1533</v>
      </c>
      <c r="D447" t="s">
        <v>35</v>
      </c>
      <c r="E447" t="s">
        <v>1534</v>
      </c>
      <c r="F447">
        <v>120.12</v>
      </c>
      <c r="G447" t="s">
        <v>18</v>
      </c>
      <c r="J447" t="s">
        <v>1535</v>
      </c>
      <c r="K447" t="s">
        <v>1536</v>
      </c>
      <c r="L447" t="s">
        <v>1537</v>
      </c>
    </row>
    <row r="448" spans="1:12" x14ac:dyDescent="0.25">
      <c r="A448" s="1" t="s">
        <v>1538</v>
      </c>
      <c r="B448" t="s">
        <v>1539</v>
      </c>
      <c r="C448" t="s">
        <v>1540</v>
      </c>
      <c r="D448" t="s">
        <v>35</v>
      </c>
      <c r="E448" t="s">
        <v>1541</v>
      </c>
      <c r="F448">
        <v>149.12</v>
      </c>
      <c r="G448" t="s">
        <v>18</v>
      </c>
      <c r="J448" t="s">
        <v>1542</v>
      </c>
      <c r="K448" t="s">
        <v>1543</v>
      </c>
      <c r="L448" t="s">
        <v>1544</v>
      </c>
    </row>
    <row r="449" spans="1:12" x14ac:dyDescent="0.25">
      <c r="A449" s="1" t="s">
        <v>1545</v>
      </c>
      <c r="B449" t="s">
        <v>1546</v>
      </c>
      <c r="C449" t="s">
        <v>1400</v>
      </c>
      <c r="D449" t="s">
        <v>35</v>
      </c>
      <c r="E449" t="s">
        <v>1547</v>
      </c>
      <c r="F449">
        <v>119.11</v>
      </c>
      <c r="G449" t="s">
        <v>18</v>
      </c>
      <c r="J449" t="s">
        <v>1548</v>
      </c>
      <c r="K449" t="s">
        <v>1545</v>
      </c>
      <c r="L449" t="s">
        <v>1545</v>
      </c>
    </row>
    <row r="450" spans="1:12" x14ac:dyDescent="0.25">
      <c r="A450" s="1" t="s">
        <v>1549</v>
      </c>
      <c r="B450" t="s">
        <v>274</v>
      </c>
      <c r="C450" t="s">
        <v>1328</v>
      </c>
      <c r="D450" t="s">
        <v>1550</v>
      </c>
      <c r="E450" t="s">
        <v>1551</v>
      </c>
      <c r="F450">
        <v>86.089999999999989</v>
      </c>
      <c r="G450" t="s">
        <v>18</v>
      </c>
      <c r="H450" t="s">
        <v>566</v>
      </c>
      <c r="J450" t="s">
        <v>1552</v>
      </c>
    </row>
    <row r="451" spans="1:12" x14ac:dyDescent="0.25">
      <c r="A451" s="1" t="s">
        <v>1553</v>
      </c>
      <c r="B451" t="s">
        <v>1554</v>
      </c>
      <c r="C451" t="s">
        <v>1555</v>
      </c>
      <c r="D451" t="s">
        <v>1556</v>
      </c>
      <c r="E451" t="s">
        <v>1557</v>
      </c>
      <c r="F451">
        <v>118.1</v>
      </c>
      <c r="G451" t="s">
        <v>18</v>
      </c>
      <c r="J451" t="s">
        <v>1558</v>
      </c>
    </row>
    <row r="452" spans="1:12" x14ac:dyDescent="0.25">
      <c r="A452" s="1" t="s">
        <v>1559</v>
      </c>
      <c r="C452" t="s">
        <v>1560</v>
      </c>
      <c r="D452" t="s">
        <v>35</v>
      </c>
      <c r="F452">
        <v>24.31</v>
      </c>
      <c r="G452" t="s">
        <v>36</v>
      </c>
    </row>
    <row r="453" spans="1:12" x14ac:dyDescent="0.25">
      <c r="A453" s="1" t="s">
        <v>1561</v>
      </c>
      <c r="C453" t="s">
        <v>1560</v>
      </c>
      <c r="D453" t="s">
        <v>35</v>
      </c>
      <c r="F453">
        <v>24.31</v>
      </c>
      <c r="G453" t="s">
        <v>36</v>
      </c>
    </row>
    <row r="454" spans="1:12" x14ac:dyDescent="0.25">
      <c r="A454" s="1" t="s">
        <v>1562</v>
      </c>
      <c r="C454" t="s">
        <v>1560</v>
      </c>
      <c r="D454" t="s">
        <v>35</v>
      </c>
      <c r="F454">
        <v>24.31</v>
      </c>
      <c r="G454" t="s">
        <v>36</v>
      </c>
    </row>
    <row r="455" spans="1:12" x14ac:dyDescent="0.25">
      <c r="A455" s="1" t="s">
        <v>1563</v>
      </c>
      <c r="C455" t="s">
        <v>1560</v>
      </c>
      <c r="D455" t="s">
        <v>35</v>
      </c>
      <c r="F455">
        <v>24.31</v>
      </c>
      <c r="G455" t="s">
        <v>36</v>
      </c>
    </row>
    <row r="456" spans="1:12" x14ac:dyDescent="0.25">
      <c r="A456" s="1" t="s">
        <v>1564</v>
      </c>
      <c r="C456" t="s">
        <v>1565</v>
      </c>
      <c r="D456" t="s">
        <v>35</v>
      </c>
      <c r="F456">
        <v>54.94</v>
      </c>
      <c r="G456" t="s">
        <v>36</v>
      </c>
    </row>
    <row r="457" spans="1:12" x14ac:dyDescent="0.25">
      <c r="A457" s="1" t="s">
        <v>1566</v>
      </c>
      <c r="C457" t="s">
        <v>1565</v>
      </c>
      <c r="D457" t="s">
        <v>35</v>
      </c>
      <c r="F457">
        <v>54.94</v>
      </c>
      <c r="G457" t="s">
        <v>36</v>
      </c>
    </row>
    <row r="458" spans="1:12" x14ac:dyDescent="0.25">
      <c r="A458" s="1" t="s">
        <v>1567</v>
      </c>
      <c r="B458" t="s">
        <v>1568</v>
      </c>
      <c r="C458" t="s">
        <v>1567</v>
      </c>
      <c r="D458" t="s">
        <v>1569</v>
      </c>
      <c r="E458" t="s">
        <v>1570</v>
      </c>
      <c r="F458">
        <v>14.01</v>
      </c>
      <c r="G458" t="s">
        <v>18</v>
      </c>
    </row>
    <row r="459" spans="1:12" x14ac:dyDescent="0.25">
      <c r="A459" s="1" t="s">
        <v>1571</v>
      </c>
      <c r="B459" t="s">
        <v>1572</v>
      </c>
      <c r="C459" t="s">
        <v>1571</v>
      </c>
      <c r="D459" t="s">
        <v>1573</v>
      </c>
      <c r="E459" t="s">
        <v>1574</v>
      </c>
      <c r="F459">
        <v>28.02</v>
      </c>
      <c r="G459" t="s">
        <v>18</v>
      </c>
    </row>
    <row r="460" spans="1:12" x14ac:dyDescent="0.25">
      <c r="A460" s="1" t="s">
        <v>1575</v>
      </c>
      <c r="B460" t="s">
        <v>1576</v>
      </c>
      <c r="C460" t="s">
        <v>1575</v>
      </c>
      <c r="D460" t="s">
        <v>1577</v>
      </c>
      <c r="E460" t="s">
        <v>1578</v>
      </c>
      <c r="F460">
        <v>44.02</v>
      </c>
      <c r="G460" t="s">
        <v>18</v>
      </c>
    </row>
    <row r="461" spans="1:12" x14ac:dyDescent="0.25">
      <c r="A461" s="1" t="s">
        <v>1579</v>
      </c>
      <c r="B461" t="s">
        <v>1580</v>
      </c>
      <c r="C461" t="s">
        <v>1579</v>
      </c>
      <c r="D461" t="s">
        <v>1581</v>
      </c>
      <c r="E461" t="s">
        <v>1582</v>
      </c>
      <c r="F461">
        <v>108.02</v>
      </c>
      <c r="G461" t="s">
        <v>18</v>
      </c>
    </row>
    <row r="462" spans="1:12" x14ac:dyDescent="0.25">
      <c r="A462" s="1" t="s">
        <v>1583</v>
      </c>
      <c r="B462" t="s">
        <v>1584</v>
      </c>
      <c r="C462" t="s">
        <v>1585</v>
      </c>
      <c r="D462" t="s">
        <v>1586</v>
      </c>
      <c r="E462" t="s">
        <v>1587</v>
      </c>
      <c r="F462">
        <v>128.18</v>
      </c>
      <c r="G462" t="s">
        <v>18</v>
      </c>
    </row>
    <row r="463" spans="1:12" x14ac:dyDescent="0.25">
      <c r="A463" s="1" t="s">
        <v>1588</v>
      </c>
      <c r="B463" t="s">
        <v>1589</v>
      </c>
      <c r="C463" t="s">
        <v>1588</v>
      </c>
      <c r="D463" t="s">
        <v>35</v>
      </c>
      <c r="F463">
        <v>16</v>
      </c>
      <c r="G463" t="s">
        <v>18</v>
      </c>
    </row>
    <row r="464" spans="1:12" x14ac:dyDescent="0.25">
      <c r="A464" s="1" t="s">
        <v>1590</v>
      </c>
      <c r="B464" t="s">
        <v>1591</v>
      </c>
      <c r="C464" t="s">
        <v>1590</v>
      </c>
      <c r="D464" t="s">
        <v>1567</v>
      </c>
      <c r="E464" t="s">
        <v>1592</v>
      </c>
      <c r="F464">
        <v>17.04</v>
      </c>
      <c r="G464" t="s">
        <v>18</v>
      </c>
    </row>
    <row r="465" spans="1:13" x14ac:dyDescent="0.25">
      <c r="A465" s="1" t="s">
        <v>1593</v>
      </c>
      <c r="B465" t="s">
        <v>1594</v>
      </c>
      <c r="C465" t="s">
        <v>1593</v>
      </c>
      <c r="D465" t="s">
        <v>35</v>
      </c>
      <c r="F465">
        <v>18.05</v>
      </c>
      <c r="G465" t="s">
        <v>36</v>
      </c>
    </row>
    <row r="466" spans="1:13" x14ac:dyDescent="0.25">
      <c r="A466" s="1" t="s">
        <v>1595</v>
      </c>
      <c r="B466" t="s">
        <v>1596</v>
      </c>
      <c r="C466" t="s">
        <v>1597</v>
      </c>
      <c r="D466" t="s">
        <v>1598</v>
      </c>
      <c r="E466" t="s">
        <v>1599</v>
      </c>
      <c r="F466">
        <v>62.01</v>
      </c>
      <c r="G466" t="s">
        <v>36</v>
      </c>
    </row>
    <row r="467" spans="1:13" x14ac:dyDescent="0.25">
      <c r="A467" s="1" t="s">
        <v>1600</v>
      </c>
      <c r="B467" t="s">
        <v>1601</v>
      </c>
      <c r="D467" t="s">
        <v>1598</v>
      </c>
      <c r="E467" t="s">
        <v>1599</v>
      </c>
      <c r="F467">
        <v>29</v>
      </c>
      <c r="G467" t="s">
        <v>36</v>
      </c>
    </row>
    <row r="468" spans="1:13" x14ac:dyDescent="0.25">
      <c r="A468" s="1" t="s">
        <v>1602</v>
      </c>
      <c r="B468" t="s">
        <v>1603</v>
      </c>
      <c r="D468" t="s">
        <v>1598</v>
      </c>
      <c r="E468" t="s">
        <v>1599</v>
      </c>
      <c r="F468">
        <v>29</v>
      </c>
      <c r="G468" t="s">
        <v>36</v>
      </c>
    </row>
    <row r="469" spans="1:13" x14ac:dyDescent="0.25">
      <c r="A469" s="1" t="s">
        <v>1604</v>
      </c>
      <c r="B469" t="s">
        <v>1605</v>
      </c>
      <c r="D469" t="s">
        <v>1598</v>
      </c>
      <c r="E469" t="s">
        <v>1599</v>
      </c>
      <c r="F469">
        <v>29</v>
      </c>
      <c r="G469" t="s">
        <v>36</v>
      </c>
    </row>
    <row r="470" spans="1:13" x14ac:dyDescent="0.25">
      <c r="A470" s="1" t="s">
        <v>1606</v>
      </c>
      <c r="B470" t="s">
        <v>1607</v>
      </c>
      <c r="D470" t="s">
        <v>1598</v>
      </c>
      <c r="E470" t="s">
        <v>1599</v>
      </c>
      <c r="F470">
        <v>29</v>
      </c>
      <c r="G470" t="s">
        <v>36</v>
      </c>
    </row>
    <row r="471" spans="1:13" x14ac:dyDescent="0.25">
      <c r="A471" s="1" t="s">
        <v>1608</v>
      </c>
      <c r="B471" t="s">
        <v>1609</v>
      </c>
      <c r="D471" t="s">
        <v>1598</v>
      </c>
      <c r="E471" t="s">
        <v>1599</v>
      </c>
      <c r="F471">
        <v>31.4</v>
      </c>
      <c r="G471" t="s">
        <v>36</v>
      </c>
    </row>
    <row r="472" spans="1:13" x14ac:dyDescent="0.25">
      <c r="A472" s="1" t="s">
        <v>1610</v>
      </c>
      <c r="B472" t="s">
        <v>1611</v>
      </c>
      <c r="C472" t="s">
        <v>1610</v>
      </c>
      <c r="D472" t="s">
        <v>1612</v>
      </c>
      <c r="E472" t="s">
        <v>1613</v>
      </c>
      <c r="F472">
        <v>30.01</v>
      </c>
      <c r="G472" t="s">
        <v>18</v>
      </c>
    </row>
    <row r="473" spans="1:13" x14ac:dyDescent="0.25">
      <c r="A473" s="1" t="s">
        <v>1614</v>
      </c>
      <c r="B473" t="s">
        <v>1615</v>
      </c>
      <c r="C473" t="s">
        <v>1614</v>
      </c>
      <c r="D473" t="s">
        <v>1616</v>
      </c>
      <c r="E473" t="s">
        <v>1617</v>
      </c>
      <c r="F473">
        <v>46.01</v>
      </c>
      <c r="G473" t="s">
        <v>18</v>
      </c>
    </row>
    <row r="474" spans="1:13" x14ac:dyDescent="0.25">
      <c r="A474" s="1" t="s">
        <v>1597</v>
      </c>
      <c r="B474" t="s">
        <v>1618</v>
      </c>
      <c r="C474" t="s">
        <v>1597</v>
      </c>
      <c r="D474" t="s">
        <v>1619</v>
      </c>
      <c r="E474" t="s">
        <v>1620</v>
      </c>
      <c r="F474">
        <v>62.01</v>
      </c>
      <c r="G474" t="s">
        <v>18</v>
      </c>
    </row>
    <row r="475" spans="1:13" x14ac:dyDescent="0.25">
      <c r="A475" s="1" t="s">
        <v>1621</v>
      </c>
      <c r="B475" t="s">
        <v>1622</v>
      </c>
      <c r="C475" t="s">
        <v>1623</v>
      </c>
      <c r="D475" t="s">
        <v>1624</v>
      </c>
      <c r="E475" t="s">
        <v>1625</v>
      </c>
      <c r="F475">
        <v>139.11000000000001</v>
      </c>
      <c r="G475" t="s">
        <v>18</v>
      </c>
      <c r="J475" t="s">
        <v>1626</v>
      </c>
      <c r="M475" t="s">
        <v>1626</v>
      </c>
    </row>
    <row r="476" spans="1:13" x14ac:dyDescent="0.25">
      <c r="A476" s="1" t="s">
        <v>1627</v>
      </c>
      <c r="B476" t="s">
        <v>1628</v>
      </c>
      <c r="C476" t="s">
        <v>1178</v>
      </c>
      <c r="D476" t="s">
        <v>35</v>
      </c>
      <c r="F476">
        <v>147</v>
      </c>
      <c r="G476" t="s">
        <v>18</v>
      </c>
      <c r="H476" t="s">
        <v>470</v>
      </c>
    </row>
    <row r="477" spans="1:13" x14ac:dyDescent="0.25">
      <c r="A477" s="1" t="s">
        <v>1629</v>
      </c>
      <c r="B477" t="s">
        <v>1630</v>
      </c>
      <c r="C477" t="s">
        <v>1181</v>
      </c>
      <c r="D477" t="s">
        <v>1631</v>
      </c>
      <c r="E477" t="s">
        <v>1632</v>
      </c>
      <c r="F477">
        <v>105.11</v>
      </c>
      <c r="G477" t="s">
        <v>18</v>
      </c>
      <c r="J477" t="s">
        <v>1633</v>
      </c>
    </row>
    <row r="478" spans="1:13" x14ac:dyDescent="0.25">
      <c r="A478" s="1" t="s">
        <v>1634</v>
      </c>
      <c r="B478" t="s">
        <v>1635</v>
      </c>
      <c r="C478" t="s">
        <v>1636</v>
      </c>
      <c r="D478" t="s">
        <v>1637</v>
      </c>
      <c r="E478" t="s">
        <v>1638</v>
      </c>
      <c r="F478">
        <v>159.16999999999999</v>
      </c>
      <c r="G478" t="s">
        <v>18</v>
      </c>
    </row>
    <row r="479" spans="1:13" x14ac:dyDescent="0.25">
      <c r="A479" s="1" t="s">
        <v>1639</v>
      </c>
      <c r="C479" t="s">
        <v>1640</v>
      </c>
      <c r="D479" t="s">
        <v>35</v>
      </c>
      <c r="F479">
        <v>58.69</v>
      </c>
      <c r="G479" t="s">
        <v>36</v>
      </c>
    </row>
    <row r="480" spans="1:13" x14ac:dyDescent="0.25">
      <c r="A480" s="1" t="s">
        <v>1641</v>
      </c>
      <c r="C480" t="s">
        <v>1640</v>
      </c>
      <c r="D480" t="s">
        <v>35</v>
      </c>
      <c r="F480">
        <v>58.69</v>
      </c>
      <c r="G480" t="s">
        <v>36</v>
      </c>
    </row>
    <row r="481" spans="1:7" x14ac:dyDescent="0.25">
      <c r="A481" s="1" t="s">
        <v>605</v>
      </c>
      <c r="B481" t="s">
        <v>1642</v>
      </c>
      <c r="C481" t="s">
        <v>1643</v>
      </c>
      <c r="D481" t="s">
        <v>1644</v>
      </c>
      <c r="E481" t="s">
        <v>1645</v>
      </c>
      <c r="F481">
        <v>16</v>
      </c>
      <c r="G481" t="s">
        <v>18</v>
      </c>
    </row>
    <row r="482" spans="1:7" x14ac:dyDescent="0.25">
      <c r="A482" s="1" t="s">
        <v>1646</v>
      </c>
      <c r="B482" t="s">
        <v>1647</v>
      </c>
      <c r="C482" t="s">
        <v>1648</v>
      </c>
      <c r="D482" t="s">
        <v>1644</v>
      </c>
      <c r="F482">
        <v>16</v>
      </c>
      <c r="G482" t="s">
        <v>18</v>
      </c>
    </row>
    <row r="483" spans="1:7" x14ac:dyDescent="0.25">
      <c r="A483" s="1" t="s">
        <v>1649</v>
      </c>
      <c r="B483" t="s">
        <v>1650</v>
      </c>
      <c r="C483" t="s">
        <v>1649</v>
      </c>
      <c r="D483" t="s">
        <v>1651</v>
      </c>
      <c r="E483" t="s">
        <v>1652</v>
      </c>
      <c r="F483">
        <v>32</v>
      </c>
      <c r="G483" t="s">
        <v>18</v>
      </c>
    </row>
    <row r="484" spans="1:7" x14ac:dyDescent="0.25">
      <c r="A484" s="1" t="s">
        <v>1653</v>
      </c>
      <c r="B484" t="s">
        <v>1654</v>
      </c>
      <c r="C484" t="s">
        <v>1653</v>
      </c>
      <c r="D484" t="s">
        <v>1655</v>
      </c>
      <c r="E484" t="s">
        <v>1656</v>
      </c>
      <c r="F484">
        <v>48</v>
      </c>
      <c r="G484" t="s">
        <v>18</v>
      </c>
    </row>
    <row r="485" spans="1:7" x14ac:dyDescent="0.25">
      <c r="A485" s="1" t="s">
        <v>1657</v>
      </c>
      <c r="B485" t="s">
        <v>1658</v>
      </c>
      <c r="C485" t="s">
        <v>1653</v>
      </c>
      <c r="D485" t="s">
        <v>35</v>
      </c>
      <c r="F485">
        <v>46</v>
      </c>
      <c r="G485" t="s">
        <v>18</v>
      </c>
    </row>
    <row r="486" spans="1:7" x14ac:dyDescent="0.25">
      <c r="A486" s="1" t="s">
        <v>1659</v>
      </c>
      <c r="B486" t="s">
        <v>1660</v>
      </c>
      <c r="C486" t="s">
        <v>1653</v>
      </c>
      <c r="D486" t="s">
        <v>35</v>
      </c>
      <c r="F486">
        <v>46</v>
      </c>
      <c r="G486" t="s">
        <v>18</v>
      </c>
    </row>
    <row r="487" spans="1:7" x14ac:dyDescent="0.25">
      <c r="A487" s="1" t="s">
        <v>1661</v>
      </c>
      <c r="B487" t="s">
        <v>1662</v>
      </c>
      <c r="C487" t="s">
        <v>1653</v>
      </c>
      <c r="D487" t="s">
        <v>35</v>
      </c>
      <c r="F487">
        <v>46</v>
      </c>
      <c r="G487" t="s">
        <v>18</v>
      </c>
    </row>
    <row r="488" spans="1:7" x14ac:dyDescent="0.25">
      <c r="A488" s="1" t="s">
        <v>1663</v>
      </c>
      <c r="B488" t="s">
        <v>1664</v>
      </c>
      <c r="C488" t="s">
        <v>1653</v>
      </c>
      <c r="D488" t="s">
        <v>35</v>
      </c>
      <c r="F488">
        <v>46</v>
      </c>
      <c r="G488" t="s">
        <v>18</v>
      </c>
    </row>
    <row r="489" spans="1:7" x14ac:dyDescent="0.25">
      <c r="A489" s="1" t="s">
        <v>1665</v>
      </c>
      <c r="B489" t="s">
        <v>1666</v>
      </c>
      <c r="C489" t="s">
        <v>1653</v>
      </c>
      <c r="D489" t="s">
        <v>35</v>
      </c>
      <c r="F489">
        <v>46</v>
      </c>
      <c r="G489" t="s">
        <v>18</v>
      </c>
    </row>
    <row r="490" spans="1:7" x14ac:dyDescent="0.25">
      <c r="A490" s="1" t="s">
        <v>1667</v>
      </c>
      <c r="B490" t="s">
        <v>1668</v>
      </c>
      <c r="C490" t="s">
        <v>1653</v>
      </c>
      <c r="D490" t="s">
        <v>35</v>
      </c>
      <c r="F490">
        <v>46</v>
      </c>
      <c r="G490" t="s">
        <v>18</v>
      </c>
    </row>
    <row r="491" spans="1:7" x14ac:dyDescent="0.25">
      <c r="A491" s="1" t="s">
        <v>1669</v>
      </c>
      <c r="B491" t="s">
        <v>1670</v>
      </c>
      <c r="C491" t="s">
        <v>1653</v>
      </c>
      <c r="D491" t="s">
        <v>35</v>
      </c>
      <c r="F491">
        <v>46</v>
      </c>
      <c r="G491" t="s">
        <v>18</v>
      </c>
    </row>
    <row r="492" spans="1:7" x14ac:dyDescent="0.25">
      <c r="A492" s="1" t="s">
        <v>1671</v>
      </c>
      <c r="B492" t="s">
        <v>1672</v>
      </c>
      <c r="C492" t="s">
        <v>1653</v>
      </c>
      <c r="D492" t="s">
        <v>35</v>
      </c>
      <c r="F492">
        <v>46</v>
      </c>
      <c r="G492" t="s">
        <v>18</v>
      </c>
    </row>
    <row r="493" spans="1:7" x14ac:dyDescent="0.25">
      <c r="A493" s="1" t="s">
        <v>1673</v>
      </c>
      <c r="B493" t="s">
        <v>1674</v>
      </c>
      <c r="C493" t="s">
        <v>1653</v>
      </c>
      <c r="D493" t="s">
        <v>35</v>
      </c>
      <c r="F493">
        <v>46</v>
      </c>
      <c r="G493" t="s">
        <v>18</v>
      </c>
    </row>
    <row r="494" spans="1:7" x14ac:dyDescent="0.25">
      <c r="A494" s="1" t="s">
        <v>1675</v>
      </c>
      <c r="B494" t="s">
        <v>1676</v>
      </c>
      <c r="C494" t="s">
        <v>1653</v>
      </c>
      <c r="D494" t="s">
        <v>35</v>
      </c>
      <c r="F494">
        <v>48</v>
      </c>
      <c r="G494" t="s">
        <v>18</v>
      </c>
    </row>
    <row r="495" spans="1:7" x14ac:dyDescent="0.25">
      <c r="A495" s="1" t="s">
        <v>1677</v>
      </c>
      <c r="B495" t="s">
        <v>1678</v>
      </c>
      <c r="C495" t="s">
        <v>1653</v>
      </c>
      <c r="D495" t="s">
        <v>35</v>
      </c>
      <c r="F495">
        <v>46</v>
      </c>
      <c r="G495" t="s">
        <v>18</v>
      </c>
    </row>
    <row r="496" spans="1:7" x14ac:dyDescent="0.25">
      <c r="A496" s="1" t="s">
        <v>1679</v>
      </c>
      <c r="B496" t="s">
        <v>1680</v>
      </c>
      <c r="C496" t="s">
        <v>1653</v>
      </c>
      <c r="D496" t="s">
        <v>35</v>
      </c>
      <c r="F496">
        <v>46</v>
      </c>
      <c r="G496" t="s">
        <v>18</v>
      </c>
    </row>
    <row r="497" spans="1:7" x14ac:dyDescent="0.25">
      <c r="A497" s="1" t="s">
        <v>1681</v>
      </c>
      <c r="B497" t="s">
        <v>1682</v>
      </c>
      <c r="C497" t="s">
        <v>1653</v>
      </c>
      <c r="D497" t="s">
        <v>35</v>
      </c>
      <c r="F497">
        <v>46</v>
      </c>
      <c r="G497" t="s">
        <v>18</v>
      </c>
    </row>
    <row r="498" spans="1:7" x14ac:dyDescent="0.25">
      <c r="A498" s="1" t="s">
        <v>1683</v>
      </c>
      <c r="B498" t="s">
        <v>1684</v>
      </c>
      <c r="C498" t="s">
        <v>1653</v>
      </c>
      <c r="D498" t="s">
        <v>35</v>
      </c>
      <c r="F498">
        <v>48</v>
      </c>
      <c r="G498" t="s">
        <v>18</v>
      </c>
    </row>
    <row r="499" spans="1:7" x14ac:dyDescent="0.25">
      <c r="A499" s="1" t="s">
        <v>1685</v>
      </c>
      <c r="B499" t="s">
        <v>1686</v>
      </c>
      <c r="C499" t="s">
        <v>1653</v>
      </c>
      <c r="D499" t="s">
        <v>35</v>
      </c>
      <c r="F499">
        <v>48</v>
      </c>
      <c r="G499" t="s">
        <v>18</v>
      </c>
    </row>
    <row r="500" spans="1:7" x14ac:dyDescent="0.25">
      <c r="A500" s="1" t="s">
        <v>1687</v>
      </c>
      <c r="B500" t="s">
        <v>1688</v>
      </c>
      <c r="C500" t="s">
        <v>1653</v>
      </c>
      <c r="D500" t="s">
        <v>35</v>
      </c>
      <c r="F500">
        <v>48</v>
      </c>
      <c r="G500" t="s">
        <v>18</v>
      </c>
    </row>
    <row r="501" spans="1:7" x14ac:dyDescent="0.25">
      <c r="A501" s="1" t="s">
        <v>1689</v>
      </c>
      <c r="B501" t="s">
        <v>1690</v>
      </c>
      <c r="C501" t="s">
        <v>1653</v>
      </c>
      <c r="D501" t="s">
        <v>35</v>
      </c>
      <c r="F501">
        <v>48</v>
      </c>
      <c r="G501" t="s">
        <v>18</v>
      </c>
    </row>
    <row r="502" spans="1:7" x14ac:dyDescent="0.25">
      <c r="A502" s="1" t="s">
        <v>1691</v>
      </c>
      <c r="B502" t="s">
        <v>1692</v>
      </c>
      <c r="C502" t="s">
        <v>1653</v>
      </c>
      <c r="D502" t="s">
        <v>35</v>
      </c>
      <c r="F502">
        <v>48</v>
      </c>
      <c r="G502" t="s">
        <v>18</v>
      </c>
    </row>
    <row r="503" spans="1:7" x14ac:dyDescent="0.25">
      <c r="A503" s="1" t="s">
        <v>1693</v>
      </c>
      <c r="B503" t="s">
        <v>1694</v>
      </c>
      <c r="C503" t="s">
        <v>1653</v>
      </c>
      <c r="D503" t="s">
        <v>35</v>
      </c>
      <c r="F503">
        <v>48</v>
      </c>
      <c r="G503" t="s">
        <v>18</v>
      </c>
    </row>
    <row r="504" spans="1:7" x14ac:dyDescent="0.25">
      <c r="A504" s="1" t="s">
        <v>1695</v>
      </c>
      <c r="B504" t="s">
        <v>1696</v>
      </c>
      <c r="C504" t="s">
        <v>1653</v>
      </c>
      <c r="D504" t="s">
        <v>35</v>
      </c>
      <c r="F504">
        <v>48</v>
      </c>
      <c r="G504" t="s">
        <v>18</v>
      </c>
    </row>
    <row r="505" spans="1:7" x14ac:dyDescent="0.25">
      <c r="A505" s="1" t="s">
        <v>1697</v>
      </c>
      <c r="B505" t="s">
        <v>1698</v>
      </c>
      <c r="C505" t="s">
        <v>1653</v>
      </c>
      <c r="D505" t="s">
        <v>35</v>
      </c>
      <c r="F505">
        <v>48</v>
      </c>
      <c r="G505" t="s">
        <v>18</v>
      </c>
    </row>
    <row r="506" spans="1:7" x14ac:dyDescent="0.25">
      <c r="A506" s="1" t="s">
        <v>1699</v>
      </c>
      <c r="B506" t="s">
        <v>1700</v>
      </c>
      <c r="C506" t="s">
        <v>1653</v>
      </c>
      <c r="D506" t="s">
        <v>35</v>
      </c>
      <c r="F506">
        <v>48</v>
      </c>
      <c r="G506" t="s">
        <v>18</v>
      </c>
    </row>
    <row r="507" spans="1:7" x14ac:dyDescent="0.25">
      <c r="A507" s="1" t="s">
        <v>1701</v>
      </c>
      <c r="B507" t="s">
        <v>1702</v>
      </c>
      <c r="C507" t="s">
        <v>1653</v>
      </c>
      <c r="D507" t="s">
        <v>35</v>
      </c>
      <c r="F507">
        <v>48</v>
      </c>
      <c r="G507" t="s">
        <v>18</v>
      </c>
    </row>
    <row r="508" spans="1:7" x14ac:dyDescent="0.25">
      <c r="A508" s="1" t="s">
        <v>1703</v>
      </c>
      <c r="B508" t="s">
        <v>1704</v>
      </c>
      <c r="C508" t="s">
        <v>1653</v>
      </c>
      <c r="D508" t="s">
        <v>35</v>
      </c>
      <c r="F508">
        <v>48</v>
      </c>
      <c r="G508" t="s">
        <v>18</v>
      </c>
    </row>
    <row r="509" spans="1:7" x14ac:dyDescent="0.25">
      <c r="A509" s="1" t="s">
        <v>1705</v>
      </c>
      <c r="B509" t="s">
        <v>1706</v>
      </c>
      <c r="D509" t="s">
        <v>35</v>
      </c>
      <c r="F509">
        <v>12.01</v>
      </c>
      <c r="G509" t="s">
        <v>36</v>
      </c>
    </row>
    <row r="510" spans="1:7" x14ac:dyDescent="0.25">
      <c r="A510" s="1" t="s">
        <v>1707</v>
      </c>
      <c r="B510" t="s">
        <v>1708</v>
      </c>
      <c r="D510" t="s">
        <v>35</v>
      </c>
      <c r="F510">
        <v>12.01</v>
      </c>
      <c r="G510" t="s">
        <v>36</v>
      </c>
    </row>
    <row r="511" spans="1:7" x14ac:dyDescent="0.25">
      <c r="A511" s="1" t="s">
        <v>1709</v>
      </c>
      <c r="B511" t="s">
        <v>1710</v>
      </c>
      <c r="C511" t="s">
        <v>1711</v>
      </c>
      <c r="D511" t="s">
        <v>1712</v>
      </c>
      <c r="E511" t="s">
        <v>1713</v>
      </c>
      <c r="F511">
        <v>60.07</v>
      </c>
      <c r="G511" t="s">
        <v>18</v>
      </c>
    </row>
    <row r="512" spans="1:7" x14ac:dyDescent="0.25">
      <c r="A512" s="1" t="s">
        <v>1714</v>
      </c>
      <c r="B512" t="s">
        <v>463</v>
      </c>
      <c r="C512" t="s">
        <v>1714</v>
      </c>
      <c r="D512" t="s">
        <v>464</v>
      </c>
      <c r="E512" t="s">
        <v>465</v>
      </c>
      <c r="F512">
        <v>67.45</v>
      </c>
      <c r="G512" t="s">
        <v>18</v>
      </c>
    </row>
    <row r="513" spans="1:13" x14ac:dyDescent="0.25">
      <c r="A513" s="1" t="s">
        <v>1715</v>
      </c>
      <c r="B513" t="s">
        <v>1716</v>
      </c>
      <c r="C513" t="s">
        <v>1715</v>
      </c>
      <c r="D513" t="s">
        <v>1717</v>
      </c>
      <c r="E513" t="s">
        <v>1718</v>
      </c>
      <c r="F513">
        <v>17.010000000000002</v>
      </c>
      <c r="G513" t="s">
        <v>18</v>
      </c>
    </row>
    <row r="514" spans="1:13" x14ac:dyDescent="0.25">
      <c r="A514" s="1" t="s">
        <v>1719</v>
      </c>
      <c r="B514" t="s">
        <v>1720</v>
      </c>
      <c r="C514" t="s">
        <v>1719</v>
      </c>
      <c r="D514" t="s">
        <v>1721</v>
      </c>
      <c r="E514" t="s">
        <v>1722</v>
      </c>
      <c r="F514">
        <v>158.9</v>
      </c>
      <c r="G514" t="s">
        <v>18</v>
      </c>
    </row>
    <row r="515" spans="1:13" x14ac:dyDescent="0.25">
      <c r="A515" s="1" t="s">
        <v>1723</v>
      </c>
      <c r="B515" s="2" t="s">
        <v>2027</v>
      </c>
      <c r="C515" t="s">
        <v>1724</v>
      </c>
      <c r="D515" t="s">
        <v>1725</v>
      </c>
      <c r="E515" t="s">
        <v>1726</v>
      </c>
      <c r="F515">
        <v>230.27</v>
      </c>
      <c r="G515" t="s">
        <v>18</v>
      </c>
      <c r="J515" t="s">
        <v>2029</v>
      </c>
      <c r="M515" t="s">
        <v>1727</v>
      </c>
    </row>
    <row r="516" spans="1:13" x14ac:dyDescent="0.25">
      <c r="A516" s="1" t="s">
        <v>1728</v>
      </c>
      <c r="B516" s="2" t="s">
        <v>2028</v>
      </c>
      <c r="C516" t="s">
        <v>1724</v>
      </c>
      <c r="D516" t="s">
        <v>35</v>
      </c>
      <c r="E516" t="s">
        <v>1729</v>
      </c>
      <c r="F516">
        <v>230.27</v>
      </c>
      <c r="G516" t="s">
        <v>18</v>
      </c>
      <c r="J516" t="s">
        <v>2029</v>
      </c>
      <c r="M516" t="s">
        <v>1727</v>
      </c>
    </row>
    <row r="517" spans="1:13" x14ac:dyDescent="0.25">
      <c r="A517" s="1" t="s">
        <v>1730</v>
      </c>
      <c r="B517" t="s">
        <v>1731</v>
      </c>
      <c r="D517" t="s">
        <v>35</v>
      </c>
      <c r="G517" t="s">
        <v>18</v>
      </c>
    </row>
    <row r="518" spans="1:13" s="7" customFormat="1" x14ac:dyDescent="0.25">
      <c r="A518" s="4" t="s">
        <v>1732</v>
      </c>
      <c r="B518" s="7" t="s">
        <v>1733</v>
      </c>
      <c r="D518" s="7" t="s">
        <v>35</v>
      </c>
      <c r="F518" s="7">
        <v>12.01</v>
      </c>
      <c r="G518" s="7" t="s">
        <v>36</v>
      </c>
    </row>
    <row r="519" spans="1:13" s="7" customFormat="1" x14ac:dyDescent="0.25">
      <c r="A519" s="4" t="s">
        <v>1734</v>
      </c>
      <c r="B519" s="7" t="s">
        <v>1733</v>
      </c>
      <c r="D519" s="7" t="s">
        <v>35</v>
      </c>
      <c r="F519" s="7">
        <v>12.01</v>
      </c>
      <c r="G519" s="7" t="s">
        <v>36</v>
      </c>
    </row>
    <row r="520" spans="1:13" s="7" customFormat="1" x14ac:dyDescent="0.25">
      <c r="A520" s="4" t="s">
        <v>1735</v>
      </c>
      <c r="B520" s="7" t="s">
        <v>1736</v>
      </c>
      <c r="D520" s="7" t="s">
        <v>35</v>
      </c>
      <c r="F520" s="7">
        <v>12.01</v>
      </c>
      <c r="G520" s="7" t="s">
        <v>18</v>
      </c>
    </row>
    <row r="521" spans="1:13" s="7" customFormat="1" x14ac:dyDescent="0.25">
      <c r="A521" s="4" t="s">
        <v>1737</v>
      </c>
      <c r="B521" s="7" t="s">
        <v>1736</v>
      </c>
      <c r="D521" s="7" t="s">
        <v>35</v>
      </c>
      <c r="F521" s="7">
        <v>12.01</v>
      </c>
      <c r="G521" s="7" t="s">
        <v>18</v>
      </c>
    </row>
    <row r="522" spans="1:13" x14ac:dyDescent="0.25">
      <c r="A522" s="1" t="s">
        <v>1738</v>
      </c>
      <c r="B522" t="s">
        <v>1739</v>
      </c>
      <c r="C522" t="s">
        <v>543</v>
      </c>
      <c r="D522" t="s">
        <v>544</v>
      </c>
      <c r="E522" t="s">
        <v>545</v>
      </c>
      <c r="F522">
        <v>61.07</v>
      </c>
      <c r="G522" t="s">
        <v>18</v>
      </c>
    </row>
    <row r="523" spans="1:13" x14ac:dyDescent="0.25">
      <c r="A523" s="1" t="s">
        <v>1740</v>
      </c>
      <c r="B523" t="s">
        <v>1741</v>
      </c>
      <c r="C523" t="s">
        <v>1742</v>
      </c>
      <c r="D523" t="s">
        <v>1743</v>
      </c>
      <c r="E523" t="s">
        <v>1744</v>
      </c>
      <c r="F523">
        <v>121.06</v>
      </c>
      <c r="G523" t="s">
        <v>18</v>
      </c>
      <c r="J523" t="s">
        <v>1740</v>
      </c>
    </row>
    <row r="524" spans="1:13" x14ac:dyDescent="0.25">
      <c r="A524" s="1" t="s">
        <v>1745</v>
      </c>
      <c r="B524" t="s">
        <v>1746</v>
      </c>
      <c r="C524" t="s">
        <v>1747</v>
      </c>
      <c r="D524" t="s">
        <v>1748</v>
      </c>
      <c r="E524" t="s">
        <v>1749</v>
      </c>
      <c r="F524">
        <v>94.11</v>
      </c>
      <c r="G524" t="s">
        <v>18</v>
      </c>
      <c r="J524" t="s">
        <v>1750</v>
      </c>
    </row>
    <row r="525" spans="1:13" x14ac:dyDescent="0.25">
      <c r="A525" s="1" t="s">
        <v>1751</v>
      </c>
      <c r="B525" t="s">
        <v>1752</v>
      </c>
      <c r="C525" t="s">
        <v>1273</v>
      </c>
      <c r="D525" t="s">
        <v>35</v>
      </c>
      <c r="E525" t="s">
        <v>1753</v>
      </c>
      <c r="F525">
        <v>185.27</v>
      </c>
      <c r="G525" t="s">
        <v>18</v>
      </c>
      <c r="J525" t="s">
        <v>1754</v>
      </c>
      <c r="M525" t="s">
        <v>1276</v>
      </c>
    </row>
    <row r="526" spans="1:13" x14ac:dyDescent="0.25">
      <c r="A526" s="1" t="s">
        <v>1755</v>
      </c>
      <c r="B526" t="s">
        <v>1756</v>
      </c>
      <c r="C526" t="s">
        <v>1757</v>
      </c>
      <c r="D526" t="s">
        <v>35</v>
      </c>
      <c r="E526" t="s">
        <v>1758</v>
      </c>
      <c r="F526">
        <v>186.28</v>
      </c>
      <c r="G526" t="s">
        <v>18</v>
      </c>
      <c r="J526" t="s">
        <v>2030</v>
      </c>
      <c r="M526" t="s">
        <v>1759</v>
      </c>
    </row>
    <row r="527" spans="1:13" x14ac:dyDescent="0.25">
      <c r="A527" s="1" t="s">
        <v>1760</v>
      </c>
      <c r="B527" t="s">
        <v>1761</v>
      </c>
      <c r="D527" t="s">
        <v>35</v>
      </c>
      <c r="G527" t="s">
        <v>18</v>
      </c>
      <c r="H527" t="s">
        <v>479</v>
      </c>
    </row>
    <row r="528" spans="1:13" x14ac:dyDescent="0.25">
      <c r="A528" s="1" t="s">
        <v>1762</v>
      </c>
      <c r="B528" t="s">
        <v>1763</v>
      </c>
      <c r="D528" t="s">
        <v>35</v>
      </c>
      <c r="G528" t="s">
        <v>18</v>
      </c>
      <c r="H528" t="s">
        <v>479</v>
      </c>
    </row>
    <row r="529" spans="1:13" x14ac:dyDescent="0.25">
      <c r="A529" s="1" t="s">
        <v>1764</v>
      </c>
      <c r="B529" t="s">
        <v>1765</v>
      </c>
      <c r="C529" t="s">
        <v>1766</v>
      </c>
      <c r="D529" t="s">
        <v>35</v>
      </c>
      <c r="E529" t="s">
        <v>1767</v>
      </c>
      <c r="F529">
        <v>91.1</v>
      </c>
      <c r="G529" t="s">
        <v>18</v>
      </c>
      <c r="J529" t="s">
        <v>1768</v>
      </c>
    </row>
    <row r="530" spans="1:13" s="7" customFormat="1" x14ac:dyDescent="0.25">
      <c r="A530" s="4" t="s">
        <v>1769</v>
      </c>
      <c r="B530" s="7" t="s">
        <v>1770</v>
      </c>
      <c r="D530" s="7" t="s">
        <v>35</v>
      </c>
      <c r="F530" s="7">
        <v>12.01</v>
      </c>
      <c r="G530" s="7" t="s">
        <v>36</v>
      </c>
    </row>
    <row r="531" spans="1:13" s="7" customFormat="1" x14ac:dyDescent="0.25">
      <c r="A531" s="4" t="s">
        <v>1771</v>
      </c>
      <c r="B531" s="7" t="s">
        <v>1770</v>
      </c>
      <c r="D531" s="7" t="s">
        <v>35</v>
      </c>
      <c r="F531" s="7">
        <v>12.01</v>
      </c>
      <c r="G531" s="7" t="s">
        <v>36</v>
      </c>
    </row>
    <row r="532" spans="1:13" s="7" customFormat="1" x14ac:dyDescent="0.25">
      <c r="A532" s="4" t="s">
        <v>1772</v>
      </c>
      <c r="B532" s="7" t="s">
        <v>1773</v>
      </c>
      <c r="D532" s="7" t="s">
        <v>35</v>
      </c>
      <c r="F532" s="7">
        <v>12.01</v>
      </c>
      <c r="G532" s="7" t="s">
        <v>18</v>
      </c>
    </row>
    <row r="533" spans="1:13" s="7" customFormat="1" x14ac:dyDescent="0.25">
      <c r="A533" s="4" t="s">
        <v>1774</v>
      </c>
      <c r="B533" s="7" t="s">
        <v>1773</v>
      </c>
      <c r="D533" s="7" t="s">
        <v>35</v>
      </c>
      <c r="F533" s="7">
        <v>12.01</v>
      </c>
      <c r="G533" s="7" t="s">
        <v>18</v>
      </c>
    </row>
    <row r="534" spans="1:13" x14ac:dyDescent="0.25">
      <c r="A534" s="1" t="s">
        <v>1775</v>
      </c>
      <c r="B534" t="s">
        <v>1776</v>
      </c>
      <c r="D534" t="s">
        <v>35</v>
      </c>
      <c r="F534">
        <v>202.25</v>
      </c>
      <c r="G534" t="s">
        <v>18</v>
      </c>
    </row>
    <row r="535" spans="1:13" x14ac:dyDescent="0.25">
      <c r="A535" s="1" t="s">
        <v>1777</v>
      </c>
      <c r="B535" t="s">
        <v>1778</v>
      </c>
      <c r="D535" t="s">
        <v>35</v>
      </c>
      <c r="F535">
        <v>202.25</v>
      </c>
      <c r="G535" t="s">
        <v>36</v>
      </c>
    </row>
    <row r="536" spans="1:13" x14ac:dyDescent="0.25">
      <c r="A536" s="1" t="s">
        <v>1779</v>
      </c>
      <c r="B536" t="s">
        <v>1778</v>
      </c>
      <c r="D536" t="s">
        <v>35</v>
      </c>
      <c r="F536">
        <v>202.25</v>
      </c>
      <c r="G536" t="s">
        <v>36</v>
      </c>
    </row>
    <row r="537" spans="1:13" x14ac:dyDescent="0.25">
      <c r="A537" s="1" t="s">
        <v>1780</v>
      </c>
      <c r="B537" t="s">
        <v>1781</v>
      </c>
      <c r="D537" t="s">
        <v>35</v>
      </c>
      <c r="F537">
        <v>202.25</v>
      </c>
      <c r="G537" t="s">
        <v>36</v>
      </c>
    </row>
    <row r="538" spans="1:13" x14ac:dyDescent="0.25">
      <c r="A538" s="1" t="s">
        <v>1782</v>
      </c>
      <c r="B538" t="s">
        <v>1781</v>
      </c>
      <c r="D538" t="s">
        <v>35</v>
      </c>
      <c r="F538">
        <v>202.25</v>
      </c>
      <c r="G538" t="s">
        <v>36</v>
      </c>
    </row>
    <row r="539" spans="1:13" x14ac:dyDescent="0.25">
      <c r="A539" s="1" t="s">
        <v>1783</v>
      </c>
      <c r="B539" t="s">
        <v>1784</v>
      </c>
      <c r="D539" t="s">
        <v>35</v>
      </c>
      <c r="F539">
        <v>48</v>
      </c>
      <c r="G539" t="s">
        <v>18</v>
      </c>
    </row>
    <row r="540" spans="1:13" x14ac:dyDescent="0.25">
      <c r="A540" s="1" t="s">
        <v>1785</v>
      </c>
      <c r="B540" t="s">
        <v>1786</v>
      </c>
      <c r="C540" t="s">
        <v>1787</v>
      </c>
      <c r="D540" t="s">
        <v>1788</v>
      </c>
      <c r="E540" t="s">
        <v>1789</v>
      </c>
      <c r="F540">
        <v>92.11</v>
      </c>
      <c r="G540" t="s">
        <v>18</v>
      </c>
      <c r="J540" t="s">
        <v>1790</v>
      </c>
    </row>
    <row r="541" spans="1:13" x14ac:dyDescent="0.25">
      <c r="A541" s="1" t="s">
        <v>1791</v>
      </c>
      <c r="B541" t="s">
        <v>1792</v>
      </c>
      <c r="C541" t="s">
        <v>1793</v>
      </c>
      <c r="D541" t="s">
        <v>1794</v>
      </c>
      <c r="E541" t="s">
        <v>1795</v>
      </c>
      <c r="F541">
        <v>135.08000000000001</v>
      </c>
      <c r="G541" t="s">
        <v>18</v>
      </c>
      <c r="J541" t="s">
        <v>1791</v>
      </c>
    </row>
    <row r="542" spans="1:13" x14ac:dyDescent="0.25">
      <c r="A542" s="1" t="s">
        <v>1796</v>
      </c>
      <c r="B542" t="s">
        <v>1797</v>
      </c>
      <c r="C542" t="s">
        <v>1798</v>
      </c>
      <c r="D542" t="s">
        <v>35</v>
      </c>
      <c r="E542" t="s">
        <v>1799</v>
      </c>
      <c r="F542">
        <v>136.09</v>
      </c>
      <c r="G542" t="s">
        <v>18</v>
      </c>
      <c r="J542" t="s">
        <v>1800</v>
      </c>
    </row>
    <row r="543" spans="1:13" x14ac:dyDescent="0.25">
      <c r="A543" s="1" t="s">
        <v>1801</v>
      </c>
      <c r="B543" t="s">
        <v>1802</v>
      </c>
      <c r="C543" t="s">
        <v>1803</v>
      </c>
      <c r="D543" t="s">
        <v>1804</v>
      </c>
      <c r="E543" t="s">
        <v>1805</v>
      </c>
      <c r="F543">
        <v>119.08</v>
      </c>
      <c r="G543" t="s">
        <v>18</v>
      </c>
      <c r="J543" t="s">
        <v>1806</v>
      </c>
      <c r="K543" t="s">
        <v>1801</v>
      </c>
      <c r="L543" t="s">
        <v>1801</v>
      </c>
    </row>
    <row r="544" spans="1:13" x14ac:dyDescent="0.25">
      <c r="A544" s="1" t="s">
        <v>1807</v>
      </c>
      <c r="B544" t="s">
        <v>1808</v>
      </c>
      <c r="C544" t="s">
        <v>1809</v>
      </c>
      <c r="D544" t="s">
        <v>1810</v>
      </c>
      <c r="E544" t="s">
        <v>1811</v>
      </c>
      <c r="F544">
        <v>42.09</v>
      </c>
      <c r="G544" t="s">
        <v>18</v>
      </c>
      <c r="J544" t="s">
        <v>1809</v>
      </c>
      <c r="M544" t="s">
        <v>1809</v>
      </c>
    </row>
    <row r="545" spans="1:13" x14ac:dyDescent="0.25">
      <c r="A545" s="1" t="s">
        <v>1812</v>
      </c>
      <c r="B545" t="s">
        <v>1813</v>
      </c>
      <c r="C545" t="s">
        <v>1814</v>
      </c>
      <c r="D545" t="s">
        <v>35</v>
      </c>
      <c r="E545" t="s">
        <v>1815</v>
      </c>
      <c r="F545">
        <v>137.11000000000001</v>
      </c>
      <c r="G545" t="s">
        <v>18</v>
      </c>
      <c r="J545" t="s">
        <v>1816</v>
      </c>
    </row>
    <row r="546" spans="1:13" x14ac:dyDescent="0.25">
      <c r="A546" s="1" t="s">
        <v>1817</v>
      </c>
      <c r="B546" t="s">
        <v>1818</v>
      </c>
      <c r="D546" t="s">
        <v>1819</v>
      </c>
      <c r="E546" t="s">
        <v>1820</v>
      </c>
      <c r="F546">
        <v>96.06</v>
      </c>
      <c r="G546" t="s">
        <v>18</v>
      </c>
    </row>
    <row r="547" spans="1:13" x14ac:dyDescent="0.25">
      <c r="A547" s="1" t="s">
        <v>1821</v>
      </c>
      <c r="B547" t="s">
        <v>1822</v>
      </c>
      <c r="C547" t="s">
        <v>1421</v>
      </c>
      <c r="D547" t="s">
        <v>1823</v>
      </c>
      <c r="E547" t="s">
        <v>1824</v>
      </c>
      <c r="F547">
        <v>88.07</v>
      </c>
      <c r="G547" t="s">
        <v>18</v>
      </c>
      <c r="J547" t="s">
        <v>1825</v>
      </c>
      <c r="K547" t="s">
        <v>1826</v>
      </c>
      <c r="L547" t="s">
        <v>1821</v>
      </c>
    </row>
    <row r="548" spans="1:13" x14ac:dyDescent="0.25">
      <c r="A548" s="1" t="s">
        <v>1827</v>
      </c>
      <c r="B548" t="s">
        <v>1828</v>
      </c>
      <c r="C548" t="s">
        <v>1827</v>
      </c>
      <c r="D548" t="s">
        <v>35</v>
      </c>
      <c r="F548">
        <v>210</v>
      </c>
      <c r="G548" t="s">
        <v>36</v>
      </c>
    </row>
    <row r="549" spans="1:13" x14ac:dyDescent="0.25">
      <c r="A549" s="1" t="s">
        <v>1829</v>
      </c>
      <c r="B549" t="s">
        <v>1830</v>
      </c>
      <c r="C549" t="s">
        <v>1827</v>
      </c>
      <c r="D549" t="s">
        <v>35</v>
      </c>
      <c r="F549">
        <v>210</v>
      </c>
      <c r="G549" t="s">
        <v>36</v>
      </c>
    </row>
    <row r="550" spans="1:13" s="6" customFormat="1" x14ac:dyDescent="0.25">
      <c r="A550" s="5" t="s">
        <v>1831</v>
      </c>
      <c r="C550" s="6" t="s">
        <v>1832</v>
      </c>
      <c r="D550" s="6" t="s">
        <v>35</v>
      </c>
      <c r="F550" s="6">
        <v>210</v>
      </c>
      <c r="G550" s="6" t="s">
        <v>36</v>
      </c>
    </row>
    <row r="551" spans="1:13" s="6" customFormat="1" x14ac:dyDescent="0.25">
      <c r="A551" s="5" t="s">
        <v>1833</v>
      </c>
      <c r="C551" s="6" t="s">
        <v>1832</v>
      </c>
      <c r="D551" s="6" t="s">
        <v>35</v>
      </c>
      <c r="F551" s="6">
        <v>210</v>
      </c>
      <c r="G551" s="6" t="s">
        <v>36</v>
      </c>
    </row>
    <row r="552" spans="1:13" x14ac:dyDescent="0.25">
      <c r="A552" s="1" t="s">
        <v>1834</v>
      </c>
      <c r="B552" t="s">
        <v>1835</v>
      </c>
      <c r="C552" t="s">
        <v>1836</v>
      </c>
      <c r="D552" t="s">
        <v>35</v>
      </c>
      <c r="F552">
        <v>150.13</v>
      </c>
      <c r="G552" t="s">
        <v>18</v>
      </c>
      <c r="M552" t="s">
        <v>1837</v>
      </c>
    </row>
    <row r="553" spans="1:13" s="7" customFormat="1" x14ac:dyDescent="0.25">
      <c r="A553" s="4" t="s">
        <v>1838</v>
      </c>
      <c r="B553" s="7" t="s">
        <v>1839</v>
      </c>
      <c r="C553" s="7" t="s">
        <v>1840</v>
      </c>
      <c r="D553" s="7" t="s">
        <v>35</v>
      </c>
      <c r="E553" s="7" t="s">
        <v>1841</v>
      </c>
      <c r="F553" s="7">
        <v>119.1</v>
      </c>
      <c r="G553" s="7" t="s">
        <v>18</v>
      </c>
      <c r="J553" s="7" t="s">
        <v>1842</v>
      </c>
    </row>
    <row r="554" spans="1:13" s="7" customFormat="1" x14ac:dyDescent="0.25">
      <c r="A554" s="4" t="s">
        <v>1843</v>
      </c>
      <c r="B554" s="7" t="s">
        <v>1844</v>
      </c>
      <c r="C554" s="7" t="s">
        <v>1845</v>
      </c>
      <c r="D554" s="7" t="s">
        <v>35</v>
      </c>
      <c r="F554" s="7">
        <v>89.13</v>
      </c>
      <c r="G554" s="7" t="s">
        <v>18</v>
      </c>
      <c r="M554" s="7" t="s">
        <v>1846</v>
      </c>
    </row>
    <row r="555" spans="1:13" x14ac:dyDescent="0.25">
      <c r="A555" s="1" t="s">
        <v>1847</v>
      </c>
      <c r="B555" t="s">
        <v>1848</v>
      </c>
      <c r="C555" t="s">
        <v>1849</v>
      </c>
      <c r="D555" t="s">
        <v>35</v>
      </c>
      <c r="E555" t="s">
        <v>1850</v>
      </c>
      <c r="F555">
        <v>90.14</v>
      </c>
      <c r="G555" t="s">
        <v>18</v>
      </c>
      <c r="J555" t="s">
        <v>1851</v>
      </c>
    </row>
    <row r="556" spans="1:13" x14ac:dyDescent="0.25">
      <c r="A556" s="1" t="s">
        <v>1852</v>
      </c>
      <c r="B556" t="s">
        <v>1853</v>
      </c>
      <c r="C556" t="s">
        <v>1854</v>
      </c>
      <c r="D556" t="s">
        <v>1855</v>
      </c>
      <c r="E556" t="s">
        <v>1856</v>
      </c>
      <c r="F556">
        <v>76.11</v>
      </c>
      <c r="G556" t="s">
        <v>18</v>
      </c>
      <c r="J556" t="s">
        <v>1857</v>
      </c>
    </row>
    <row r="557" spans="1:13" x14ac:dyDescent="0.25">
      <c r="A557" s="1" t="s">
        <v>1858</v>
      </c>
      <c r="B557" t="s">
        <v>1859</v>
      </c>
      <c r="C557" t="s">
        <v>1860</v>
      </c>
      <c r="D557" t="s">
        <v>1861</v>
      </c>
      <c r="E557" t="s">
        <v>1862</v>
      </c>
      <c r="F557">
        <v>76.11</v>
      </c>
      <c r="G557" t="s">
        <v>18</v>
      </c>
      <c r="J557" t="s">
        <v>1863</v>
      </c>
    </row>
    <row r="558" spans="1:13" x14ac:dyDescent="0.25">
      <c r="A558" s="1" t="s">
        <v>1864</v>
      </c>
      <c r="B558" t="s">
        <v>1865</v>
      </c>
      <c r="C558" t="s">
        <v>1866</v>
      </c>
      <c r="D558" t="s">
        <v>1867</v>
      </c>
      <c r="E558" t="s">
        <v>1868</v>
      </c>
      <c r="F558">
        <v>58.09</v>
      </c>
      <c r="G558" t="s">
        <v>18</v>
      </c>
      <c r="J558" t="s">
        <v>1869</v>
      </c>
    </row>
    <row r="559" spans="1:13" x14ac:dyDescent="0.25">
      <c r="A559" s="1" t="s">
        <v>1870</v>
      </c>
      <c r="B559" t="s">
        <v>1871</v>
      </c>
      <c r="C559" t="s">
        <v>1872</v>
      </c>
      <c r="D559" t="s">
        <v>1873</v>
      </c>
      <c r="E559" t="s">
        <v>1874</v>
      </c>
      <c r="F559">
        <v>89.08</v>
      </c>
      <c r="G559" t="s">
        <v>18</v>
      </c>
      <c r="J559" t="s">
        <v>1875</v>
      </c>
    </row>
    <row r="560" spans="1:13" x14ac:dyDescent="0.25">
      <c r="A560" s="1" t="s">
        <v>1876</v>
      </c>
      <c r="B560" t="s">
        <v>1877</v>
      </c>
      <c r="C560" t="s">
        <v>1878</v>
      </c>
      <c r="D560" t="s">
        <v>35</v>
      </c>
      <c r="E560" t="s">
        <v>1879</v>
      </c>
      <c r="F560">
        <v>74.09</v>
      </c>
      <c r="G560" t="s">
        <v>18</v>
      </c>
    </row>
    <row r="561" spans="1:12" s="7" customFormat="1" x14ac:dyDescent="0.25">
      <c r="A561" s="4" t="s">
        <v>1880</v>
      </c>
      <c r="B561" s="7" t="s">
        <v>1881</v>
      </c>
      <c r="C561" s="7" t="s">
        <v>1882</v>
      </c>
      <c r="D561" s="7" t="s">
        <v>35</v>
      </c>
      <c r="F561" s="7">
        <v>117</v>
      </c>
      <c r="G561" s="7" t="s">
        <v>18</v>
      </c>
    </row>
    <row r="562" spans="1:12" x14ac:dyDescent="0.25">
      <c r="A562" s="1" t="s">
        <v>1883</v>
      </c>
      <c r="B562" t="s">
        <v>1884</v>
      </c>
      <c r="C562" t="s">
        <v>1035</v>
      </c>
      <c r="D562" t="s">
        <v>1885</v>
      </c>
      <c r="E562" t="s">
        <v>1886</v>
      </c>
      <c r="F562">
        <v>118.15</v>
      </c>
      <c r="G562" t="s">
        <v>18</v>
      </c>
      <c r="J562" t="s">
        <v>1887</v>
      </c>
      <c r="K562" t="s">
        <v>1888</v>
      </c>
      <c r="L562" t="s">
        <v>1883</v>
      </c>
    </row>
    <row r="563" spans="1:12" x14ac:dyDescent="0.25">
      <c r="A563" s="1" t="s">
        <v>1889</v>
      </c>
      <c r="B563" t="s">
        <v>1890</v>
      </c>
      <c r="C563" t="s">
        <v>1035</v>
      </c>
      <c r="D563" t="s">
        <v>1891</v>
      </c>
      <c r="E563" t="s">
        <v>1892</v>
      </c>
      <c r="F563">
        <v>118.15</v>
      </c>
      <c r="G563" t="s">
        <v>18</v>
      </c>
      <c r="J563" t="s">
        <v>1893</v>
      </c>
      <c r="K563" t="s">
        <v>1894</v>
      </c>
      <c r="L563" t="s">
        <v>1889</v>
      </c>
    </row>
    <row r="564" spans="1:12" x14ac:dyDescent="0.25">
      <c r="A564" s="1" t="s">
        <v>1895</v>
      </c>
      <c r="B564" t="s">
        <v>1896</v>
      </c>
      <c r="C564" t="s">
        <v>1035</v>
      </c>
      <c r="D564" t="s">
        <v>35</v>
      </c>
      <c r="E564" t="s">
        <v>1897</v>
      </c>
      <c r="F564">
        <v>118.15</v>
      </c>
      <c r="G564" t="s">
        <v>18</v>
      </c>
      <c r="J564" t="s">
        <v>1898</v>
      </c>
      <c r="K564" t="s">
        <v>1899</v>
      </c>
      <c r="L564" t="s">
        <v>1895</v>
      </c>
    </row>
    <row r="565" spans="1:12" x14ac:dyDescent="0.25">
      <c r="A565" s="1" t="s">
        <v>1900</v>
      </c>
      <c r="B565" t="s">
        <v>1901</v>
      </c>
      <c r="C565" t="s">
        <v>1035</v>
      </c>
      <c r="D565" t="s">
        <v>35</v>
      </c>
      <c r="E565" t="s">
        <v>1902</v>
      </c>
      <c r="F565">
        <v>118.15</v>
      </c>
      <c r="G565" t="s">
        <v>18</v>
      </c>
      <c r="J565" t="s">
        <v>1903</v>
      </c>
      <c r="K565" t="s">
        <v>1904</v>
      </c>
      <c r="L565" t="s">
        <v>1900</v>
      </c>
    </row>
    <row r="566" spans="1:12" x14ac:dyDescent="0.25">
      <c r="A566" s="1" t="s">
        <v>1905</v>
      </c>
      <c r="B566" t="s">
        <v>1906</v>
      </c>
      <c r="C566" t="s">
        <v>1907</v>
      </c>
      <c r="D566" t="s">
        <v>1908</v>
      </c>
      <c r="E566" t="s">
        <v>1909</v>
      </c>
      <c r="F566">
        <v>60.11</v>
      </c>
      <c r="G566" t="s">
        <v>18</v>
      </c>
      <c r="J566" t="s">
        <v>1910</v>
      </c>
    </row>
    <row r="567" spans="1:12" x14ac:dyDescent="0.25">
      <c r="A567" s="1" t="s">
        <v>1911</v>
      </c>
      <c r="B567" t="s">
        <v>1912</v>
      </c>
      <c r="C567" t="s">
        <v>1913</v>
      </c>
      <c r="D567" t="s">
        <v>35</v>
      </c>
      <c r="E567" t="s">
        <v>1914</v>
      </c>
      <c r="F567">
        <v>90.09</v>
      </c>
      <c r="G567" t="s">
        <v>18</v>
      </c>
      <c r="J567" t="s">
        <v>1875</v>
      </c>
    </row>
    <row r="568" spans="1:12" s="7" customFormat="1" x14ac:dyDescent="0.25">
      <c r="A568" s="4" t="s">
        <v>1915</v>
      </c>
      <c r="B568" s="7" t="s">
        <v>1916</v>
      </c>
      <c r="C568" s="7" t="s">
        <v>1915</v>
      </c>
      <c r="D568" s="7" t="s">
        <v>35</v>
      </c>
      <c r="F568" s="7">
        <v>222</v>
      </c>
      <c r="G568" s="7" t="s">
        <v>36</v>
      </c>
    </row>
    <row r="569" spans="1:12" x14ac:dyDescent="0.25">
      <c r="A569" s="1" t="s">
        <v>1917</v>
      </c>
      <c r="B569" t="s">
        <v>1918</v>
      </c>
      <c r="C569" t="s">
        <v>1917</v>
      </c>
      <c r="D569" t="s">
        <v>1919</v>
      </c>
      <c r="E569" t="s">
        <v>1920</v>
      </c>
      <c r="F569">
        <v>32.06</v>
      </c>
      <c r="G569" t="s">
        <v>36</v>
      </c>
    </row>
    <row r="570" spans="1:12" s="7" customFormat="1" x14ac:dyDescent="0.25">
      <c r="A570" s="4" t="s">
        <v>1921</v>
      </c>
      <c r="B570" s="7" t="s">
        <v>1922</v>
      </c>
      <c r="D570" s="7" t="s">
        <v>35</v>
      </c>
      <c r="F570" s="7">
        <v>31.4</v>
      </c>
      <c r="G570" s="7" t="s">
        <v>36</v>
      </c>
    </row>
    <row r="571" spans="1:12" s="7" customFormat="1" x14ac:dyDescent="0.25">
      <c r="A571" s="4" t="s">
        <v>1923</v>
      </c>
      <c r="B571" s="7" t="s">
        <v>1924</v>
      </c>
      <c r="D571" s="7" t="s">
        <v>35</v>
      </c>
      <c r="F571" s="7">
        <v>31.4</v>
      </c>
      <c r="G571" s="7" t="s">
        <v>36</v>
      </c>
    </row>
    <row r="572" spans="1:12" s="7" customFormat="1" x14ac:dyDescent="0.25">
      <c r="A572" s="4" t="s">
        <v>1925</v>
      </c>
      <c r="B572" s="7" t="s">
        <v>1926</v>
      </c>
      <c r="D572" s="7" t="s">
        <v>35</v>
      </c>
      <c r="F572" s="7">
        <v>35.450000000000003</v>
      </c>
      <c r="G572" s="7" t="s">
        <v>36</v>
      </c>
    </row>
    <row r="573" spans="1:12" s="7" customFormat="1" x14ac:dyDescent="0.25">
      <c r="A573" s="4" t="s">
        <v>1927</v>
      </c>
      <c r="B573" s="7" t="s">
        <v>1928</v>
      </c>
      <c r="D573" s="7" t="s">
        <v>35</v>
      </c>
      <c r="F573" s="7">
        <v>31.4</v>
      </c>
      <c r="G573" s="7" t="s">
        <v>36</v>
      </c>
    </row>
    <row r="574" spans="1:12" s="7" customFormat="1" x14ac:dyDescent="0.25">
      <c r="A574" s="4" t="s">
        <v>1929</v>
      </c>
      <c r="B574" s="7" t="s">
        <v>1930</v>
      </c>
      <c r="D574" s="7" t="s">
        <v>35</v>
      </c>
      <c r="F574" s="7">
        <v>31.4</v>
      </c>
      <c r="G574" s="7" t="s">
        <v>36</v>
      </c>
    </row>
    <row r="575" spans="1:12" s="7" customFormat="1" x14ac:dyDescent="0.25">
      <c r="A575" s="4" t="s">
        <v>1931</v>
      </c>
      <c r="B575" s="7" t="s">
        <v>1932</v>
      </c>
      <c r="D575" s="7" t="s">
        <v>35</v>
      </c>
      <c r="F575" s="7">
        <v>35.450000000000003</v>
      </c>
      <c r="G575" s="7" t="s">
        <v>36</v>
      </c>
    </row>
    <row r="576" spans="1:12" x14ac:dyDescent="0.25">
      <c r="A576" s="1" t="s">
        <v>1933</v>
      </c>
      <c r="B576" t="s">
        <v>1934</v>
      </c>
      <c r="C576" t="s">
        <v>1933</v>
      </c>
      <c r="D576" t="s">
        <v>1935</v>
      </c>
      <c r="E576" t="s">
        <v>1936</v>
      </c>
      <c r="F576">
        <v>64.040000000000006</v>
      </c>
      <c r="G576" t="s">
        <v>18</v>
      </c>
    </row>
    <row r="577" spans="1:13" s="7" customFormat="1" x14ac:dyDescent="0.25">
      <c r="A577" s="4" t="s">
        <v>1937</v>
      </c>
      <c r="B577" s="7" t="s">
        <v>1938</v>
      </c>
      <c r="C577" s="7" t="s">
        <v>1939</v>
      </c>
      <c r="D577" s="7" t="s">
        <v>35</v>
      </c>
      <c r="F577" s="7">
        <v>80.069999999999993</v>
      </c>
      <c r="G577" s="7" t="s">
        <v>18</v>
      </c>
    </row>
    <row r="578" spans="1:13" x14ac:dyDescent="0.25">
      <c r="A578" s="1" t="s">
        <v>1940</v>
      </c>
      <c r="B578" t="s">
        <v>1941</v>
      </c>
      <c r="C578" t="s">
        <v>1940</v>
      </c>
      <c r="D578" t="s">
        <v>1819</v>
      </c>
      <c r="E578" t="s">
        <v>1820</v>
      </c>
      <c r="F578">
        <v>96.06</v>
      </c>
      <c r="G578" t="s">
        <v>36</v>
      </c>
    </row>
    <row r="579" spans="1:13" x14ac:dyDescent="0.25">
      <c r="A579" s="1" t="s">
        <v>1942</v>
      </c>
      <c r="B579" t="s">
        <v>1943</v>
      </c>
      <c r="D579" t="s">
        <v>1819</v>
      </c>
      <c r="E579" t="s">
        <v>1820</v>
      </c>
      <c r="F579">
        <v>29</v>
      </c>
      <c r="G579" t="s">
        <v>36</v>
      </c>
    </row>
    <row r="580" spans="1:13" x14ac:dyDescent="0.25">
      <c r="A580" s="1" t="s">
        <v>1944</v>
      </c>
      <c r="B580" t="s">
        <v>1945</v>
      </c>
      <c r="D580" t="s">
        <v>1819</v>
      </c>
      <c r="E580" t="s">
        <v>1820</v>
      </c>
      <c r="F580">
        <v>29</v>
      </c>
      <c r="G580" t="s">
        <v>36</v>
      </c>
    </row>
    <row r="581" spans="1:13" x14ac:dyDescent="0.25">
      <c r="A581" s="1" t="s">
        <v>1946</v>
      </c>
      <c r="B581" t="s">
        <v>1947</v>
      </c>
      <c r="D581" t="s">
        <v>1819</v>
      </c>
      <c r="E581" t="s">
        <v>1820</v>
      </c>
      <c r="F581">
        <v>29</v>
      </c>
      <c r="G581" t="s">
        <v>36</v>
      </c>
    </row>
    <row r="582" spans="1:13" x14ac:dyDescent="0.25">
      <c r="A582" s="1" t="s">
        <v>1948</v>
      </c>
      <c r="B582" t="s">
        <v>1949</v>
      </c>
      <c r="D582" t="s">
        <v>1819</v>
      </c>
      <c r="E582" t="s">
        <v>1820</v>
      </c>
      <c r="F582">
        <v>29</v>
      </c>
      <c r="G582" t="s">
        <v>36</v>
      </c>
    </row>
    <row r="583" spans="1:13" x14ac:dyDescent="0.25">
      <c r="A583" s="1" t="s">
        <v>1950</v>
      </c>
      <c r="B583" t="s">
        <v>1951</v>
      </c>
      <c r="C583" t="s">
        <v>1940</v>
      </c>
      <c r="D583" t="s">
        <v>1819</v>
      </c>
      <c r="E583" t="s">
        <v>1820</v>
      </c>
      <c r="F583">
        <v>96.06</v>
      </c>
      <c r="G583" t="s">
        <v>18</v>
      </c>
    </row>
    <row r="584" spans="1:13" x14ac:dyDescent="0.25">
      <c r="A584" s="1" t="s">
        <v>1952</v>
      </c>
      <c r="B584" t="s">
        <v>1951</v>
      </c>
      <c r="C584" t="s">
        <v>1940</v>
      </c>
      <c r="D584" t="s">
        <v>1819</v>
      </c>
      <c r="E584" t="s">
        <v>1820</v>
      </c>
      <c r="F584">
        <v>96.06</v>
      </c>
      <c r="G584" t="s">
        <v>18</v>
      </c>
    </row>
    <row r="585" spans="1:13" x14ac:dyDescent="0.25">
      <c r="A585" s="1" t="s">
        <v>1953</v>
      </c>
      <c r="B585" t="s">
        <v>1954</v>
      </c>
      <c r="C585" t="s">
        <v>1940</v>
      </c>
      <c r="D585" t="s">
        <v>1819</v>
      </c>
      <c r="E585" t="s">
        <v>1820</v>
      </c>
      <c r="F585">
        <v>96.06</v>
      </c>
      <c r="G585" t="s">
        <v>18</v>
      </c>
    </row>
    <row r="586" spans="1:13" x14ac:dyDescent="0.25">
      <c r="A586" s="1" t="s">
        <v>1955</v>
      </c>
      <c r="B586" t="s">
        <v>1954</v>
      </c>
      <c r="C586" t="s">
        <v>1940</v>
      </c>
      <c r="D586" t="s">
        <v>1819</v>
      </c>
      <c r="E586" t="s">
        <v>1820</v>
      </c>
      <c r="F586">
        <v>96.06</v>
      </c>
      <c r="G586" t="s">
        <v>18</v>
      </c>
    </row>
    <row r="587" spans="1:13" x14ac:dyDescent="0.25">
      <c r="A587" s="1" t="s">
        <v>1956</v>
      </c>
      <c r="B587" t="s">
        <v>1957</v>
      </c>
      <c r="D587" t="s">
        <v>1819</v>
      </c>
      <c r="E587" t="s">
        <v>1820</v>
      </c>
      <c r="F587">
        <v>31.4</v>
      </c>
      <c r="G587" t="s">
        <v>36</v>
      </c>
    </row>
    <row r="588" spans="1:13" x14ac:dyDescent="0.25">
      <c r="A588" s="1" t="s">
        <v>1958</v>
      </c>
      <c r="B588" t="s">
        <v>1959</v>
      </c>
      <c r="C588" t="s">
        <v>1960</v>
      </c>
      <c r="D588" t="s">
        <v>35</v>
      </c>
      <c r="E588" t="s">
        <v>1961</v>
      </c>
      <c r="F588">
        <v>58.04</v>
      </c>
      <c r="G588" t="s">
        <v>36</v>
      </c>
      <c r="J588" t="s">
        <v>1962</v>
      </c>
    </row>
    <row r="589" spans="1:13" x14ac:dyDescent="0.25">
      <c r="A589" s="1" t="s">
        <v>1963</v>
      </c>
      <c r="B589" t="s">
        <v>1964</v>
      </c>
      <c r="C589" t="s">
        <v>1965</v>
      </c>
      <c r="D589" t="s">
        <v>35</v>
      </c>
      <c r="E589" t="s">
        <v>1966</v>
      </c>
      <c r="F589">
        <v>118.15</v>
      </c>
      <c r="G589" t="s">
        <v>36</v>
      </c>
      <c r="J589" t="s">
        <v>1967</v>
      </c>
      <c r="K589" t="s">
        <v>1968</v>
      </c>
    </row>
    <row r="590" spans="1:13" x14ac:dyDescent="0.25">
      <c r="A590" s="1" t="s">
        <v>1969</v>
      </c>
      <c r="B590" t="s">
        <v>1970</v>
      </c>
      <c r="C590" t="s">
        <v>672</v>
      </c>
      <c r="D590" t="s">
        <v>35</v>
      </c>
      <c r="F590">
        <v>102</v>
      </c>
      <c r="G590" t="s">
        <v>36</v>
      </c>
      <c r="H590" t="s">
        <v>470</v>
      </c>
      <c r="M590" t="s">
        <v>1119</v>
      </c>
    </row>
    <row r="591" spans="1:13" x14ac:dyDescent="0.25">
      <c r="A591" s="1" t="s">
        <v>1971</v>
      </c>
      <c r="B591" t="s">
        <v>1972</v>
      </c>
      <c r="C591" t="s">
        <v>1973</v>
      </c>
      <c r="D591" t="s">
        <v>35</v>
      </c>
      <c r="F591">
        <v>72</v>
      </c>
      <c r="G591" t="s">
        <v>36</v>
      </c>
      <c r="H591" t="s">
        <v>470</v>
      </c>
      <c r="M591" t="s">
        <v>1974</v>
      </c>
    </row>
    <row r="592" spans="1:13" x14ac:dyDescent="0.25">
      <c r="A592" s="1" t="s">
        <v>1975</v>
      </c>
      <c r="B592" t="s">
        <v>1976</v>
      </c>
      <c r="D592" t="s">
        <v>35</v>
      </c>
      <c r="F592">
        <v>150</v>
      </c>
      <c r="G592" t="s">
        <v>18</v>
      </c>
    </row>
    <row r="593" spans="1:13" x14ac:dyDescent="0.25">
      <c r="A593" s="1" t="s">
        <v>1977</v>
      </c>
      <c r="B593" t="s">
        <v>1978</v>
      </c>
      <c r="D593" t="s">
        <v>35</v>
      </c>
      <c r="F593">
        <v>150</v>
      </c>
      <c r="G593" t="s">
        <v>36</v>
      </c>
    </row>
    <row r="594" spans="1:13" x14ac:dyDescent="0.25">
      <c r="A594" s="1" t="s">
        <v>1979</v>
      </c>
      <c r="D594" t="s">
        <v>35</v>
      </c>
      <c r="F594">
        <v>28.09</v>
      </c>
      <c r="G594" t="s">
        <v>36</v>
      </c>
    </row>
    <row r="595" spans="1:13" x14ac:dyDescent="0.25">
      <c r="A595" s="1" t="s">
        <v>1980</v>
      </c>
      <c r="D595" t="s">
        <v>35</v>
      </c>
      <c r="F595">
        <v>28.09</v>
      </c>
      <c r="G595" t="s">
        <v>36</v>
      </c>
    </row>
    <row r="596" spans="1:13" x14ac:dyDescent="0.25">
      <c r="A596" s="1" t="s">
        <v>1981</v>
      </c>
      <c r="B596" t="s">
        <v>1982</v>
      </c>
      <c r="C596" t="s">
        <v>1983</v>
      </c>
      <c r="D596" t="s">
        <v>1984</v>
      </c>
      <c r="E596" t="s">
        <v>1985</v>
      </c>
      <c r="F596">
        <v>92.15</v>
      </c>
      <c r="G596" t="s">
        <v>18</v>
      </c>
      <c r="J596" t="s">
        <v>1986</v>
      </c>
    </row>
    <row r="597" spans="1:13" x14ac:dyDescent="0.25">
      <c r="A597" s="1" t="s">
        <v>1987</v>
      </c>
      <c r="B597" t="s">
        <v>1988</v>
      </c>
      <c r="C597" t="s">
        <v>1989</v>
      </c>
      <c r="D597" t="s">
        <v>35</v>
      </c>
      <c r="E597" t="s">
        <v>1990</v>
      </c>
      <c r="F597">
        <v>173.16</v>
      </c>
      <c r="G597" t="s">
        <v>18</v>
      </c>
      <c r="J597" t="s">
        <v>1991</v>
      </c>
      <c r="M597" t="s">
        <v>1992</v>
      </c>
    </row>
    <row r="598" spans="1:13" x14ac:dyDescent="0.25">
      <c r="A598" s="1" t="s">
        <v>1993</v>
      </c>
      <c r="B598" t="s">
        <v>1994</v>
      </c>
      <c r="D598" t="s">
        <v>35</v>
      </c>
      <c r="F598">
        <v>150</v>
      </c>
      <c r="G598" t="s">
        <v>36</v>
      </c>
    </row>
    <row r="599" spans="1:13" x14ac:dyDescent="0.25">
      <c r="A599" s="1" t="s">
        <v>1995</v>
      </c>
      <c r="B599" t="s">
        <v>1994</v>
      </c>
      <c r="D599" t="s">
        <v>35</v>
      </c>
      <c r="F599">
        <v>150</v>
      </c>
      <c r="G599" t="s">
        <v>36</v>
      </c>
    </row>
    <row r="600" spans="1:13" x14ac:dyDescent="0.25">
      <c r="A600" s="1" t="s">
        <v>1996</v>
      </c>
      <c r="B600" t="s">
        <v>1994</v>
      </c>
      <c r="D600" t="s">
        <v>35</v>
      </c>
      <c r="F600">
        <v>150</v>
      </c>
      <c r="G600" t="s">
        <v>36</v>
      </c>
    </row>
    <row r="601" spans="1:13" x14ac:dyDescent="0.25">
      <c r="A601" s="1" t="s">
        <v>1997</v>
      </c>
      <c r="B601" t="s">
        <v>1994</v>
      </c>
      <c r="D601" t="s">
        <v>35</v>
      </c>
      <c r="F601">
        <v>150</v>
      </c>
      <c r="G601" t="s">
        <v>36</v>
      </c>
    </row>
    <row r="602" spans="1:13" x14ac:dyDescent="0.25">
      <c r="A602" s="1" t="s">
        <v>1998</v>
      </c>
      <c r="B602" t="s">
        <v>1999</v>
      </c>
      <c r="D602" t="s">
        <v>35</v>
      </c>
      <c r="F602">
        <v>150</v>
      </c>
      <c r="G602" t="s">
        <v>18</v>
      </c>
    </row>
    <row r="603" spans="1:13" x14ac:dyDescent="0.25">
      <c r="A603" s="1" t="s">
        <v>2000</v>
      </c>
      <c r="B603" t="s">
        <v>1999</v>
      </c>
      <c r="D603" t="s">
        <v>35</v>
      </c>
      <c r="F603">
        <v>150</v>
      </c>
      <c r="G603" t="s">
        <v>18</v>
      </c>
    </row>
    <row r="604" spans="1:13" x14ac:dyDescent="0.25">
      <c r="A604" s="1" t="s">
        <v>2001</v>
      </c>
      <c r="B604" t="s">
        <v>1999</v>
      </c>
      <c r="D604" t="s">
        <v>35</v>
      </c>
      <c r="F604">
        <v>150</v>
      </c>
      <c r="G604" t="s">
        <v>18</v>
      </c>
    </row>
    <row r="605" spans="1:13" x14ac:dyDescent="0.25">
      <c r="A605" s="1" t="s">
        <v>2002</v>
      </c>
      <c r="B605" t="s">
        <v>1999</v>
      </c>
      <c r="D605" t="s">
        <v>35</v>
      </c>
      <c r="F605">
        <v>150</v>
      </c>
      <c r="G605" t="s">
        <v>18</v>
      </c>
    </row>
    <row r="606" spans="1:13" x14ac:dyDescent="0.25">
      <c r="A606" s="1" t="s">
        <v>2003</v>
      </c>
      <c r="B606" t="s">
        <v>1999</v>
      </c>
      <c r="D606" t="s">
        <v>35</v>
      </c>
      <c r="F606">
        <v>150</v>
      </c>
      <c r="G606" t="s">
        <v>18</v>
      </c>
      <c r="H606" t="s">
        <v>1204</v>
      </c>
    </row>
    <row r="607" spans="1:13" x14ac:dyDescent="0.25">
      <c r="A607" s="1" t="s">
        <v>2004</v>
      </c>
      <c r="C607" t="s">
        <v>2005</v>
      </c>
      <c r="D607" t="s">
        <v>35</v>
      </c>
      <c r="F607">
        <v>47.87</v>
      </c>
      <c r="G607" t="s">
        <v>36</v>
      </c>
    </row>
    <row r="608" spans="1:13" x14ac:dyDescent="0.25">
      <c r="A608" s="1" t="s">
        <v>2006</v>
      </c>
      <c r="C608" t="s">
        <v>2005</v>
      </c>
      <c r="D608" t="s">
        <v>35</v>
      </c>
      <c r="F608">
        <v>47.87</v>
      </c>
      <c r="G608" t="s">
        <v>36</v>
      </c>
    </row>
    <row r="609" spans="1:13" x14ac:dyDescent="0.25">
      <c r="A609" s="1" t="s">
        <v>2007</v>
      </c>
      <c r="B609" t="s">
        <v>2008</v>
      </c>
      <c r="C609" t="s">
        <v>2009</v>
      </c>
      <c r="D609" t="s">
        <v>35</v>
      </c>
      <c r="G609" t="s">
        <v>18</v>
      </c>
    </row>
    <row r="610" spans="1:13" x14ac:dyDescent="0.25">
      <c r="A610" s="1" t="s">
        <v>2010</v>
      </c>
      <c r="B610" t="s">
        <v>2011</v>
      </c>
      <c r="C610" t="s">
        <v>2012</v>
      </c>
      <c r="D610" t="s">
        <v>35</v>
      </c>
      <c r="G610" t="s">
        <v>18</v>
      </c>
    </row>
    <row r="611" spans="1:13" x14ac:dyDescent="0.25">
      <c r="A611" s="1" t="s">
        <v>2013</v>
      </c>
      <c r="B611" t="s">
        <v>1988</v>
      </c>
      <c r="C611" t="s">
        <v>2014</v>
      </c>
      <c r="D611" t="s">
        <v>35</v>
      </c>
      <c r="F611">
        <v>187.19</v>
      </c>
      <c r="G611" t="s">
        <v>18</v>
      </c>
      <c r="M611" t="s">
        <v>2015</v>
      </c>
    </row>
    <row r="612" spans="1:13" x14ac:dyDescent="0.25">
      <c r="A612" s="1" t="s">
        <v>2016</v>
      </c>
      <c r="B612" t="s">
        <v>2017</v>
      </c>
      <c r="C612" t="s">
        <v>2018</v>
      </c>
      <c r="D612" t="s">
        <v>35</v>
      </c>
      <c r="E612" t="s">
        <v>2019</v>
      </c>
      <c r="F612">
        <v>106.18</v>
      </c>
      <c r="G612" t="s">
        <v>18</v>
      </c>
      <c r="J612" t="s">
        <v>2020</v>
      </c>
      <c r="M612" t="s">
        <v>2021</v>
      </c>
    </row>
    <row r="613" spans="1:13" x14ac:dyDescent="0.25">
      <c r="A613" s="1" t="s">
        <v>2022</v>
      </c>
      <c r="B613" t="s">
        <v>2023</v>
      </c>
      <c r="C613" t="s">
        <v>560</v>
      </c>
      <c r="D613" t="s">
        <v>35</v>
      </c>
      <c r="F613">
        <v>55.85</v>
      </c>
      <c r="G613" t="s">
        <v>36</v>
      </c>
    </row>
  </sheetData>
  <conditionalFormatting sqref="E1:E1048576">
    <cfRule type="containsBlanks" dxfId="4" priority="1">
      <formula>LEN(TRIM(E1))=0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5FDE-34E2-4137-961E-D663FFFF3A49}">
  <dimension ref="A1:T348"/>
  <sheetViews>
    <sheetView tabSelected="1" topLeftCell="A37" workbookViewId="0">
      <selection activeCell="C47" sqref="C47"/>
    </sheetView>
  </sheetViews>
  <sheetFormatPr defaultRowHeight="15" x14ac:dyDescent="0.25"/>
  <cols>
    <col min="1" max="1" width="21.5703125" customWidth="1"/>
    <col min="2" max="2" width="17.85546875" customWidth="1"/>
    <col min="3" max="3" width="41" customWidth="1"/>
    <col min="5" max="5" width="12" customWidth="1"/>
    <col min="6" max="6" width="51.5703125" customWidth="1"/>
    <col min="7" max="11" width="9.140625" style="19"/>
    <col min="12" max="12" width="9.140625" style="19" customWidth="1"/>
    <col min="13" max="20" width="9.140625" style="19"/>
  </cols>
  <sheetData>
    <row r="1" spans="1:10" x14ac:dyDescent="0.25">
      <c r="B1" s="1" t="s">
        <v>2</v>
      </c>
      <c r="C1" s="1" t="s">
        <v>2034</v>
      </c>
      <c r="D1" s="1" t="s">
        <v>2035</v>
      </c>
      <c r="E1" s="1" t="s">
        <v>6</v>
      </c>
      <c r="F1" s="1" t="s">
        <v>2036</v>
      </c>
    </row>
    <row r="2" spans="1:10" x14ac:dyDescent="0.25">
      <c r="A2" s="1" t="s">
        <v>2040</v>
      </c>
      <c r="B2" t="s">
        <v>2041</v>
      </c>
      <c r="C2" t="s">
        <v>2042</v>
      </c>
      <c r="D2">
        <v>56.06</v>
      </c>
      <c r="E2" t="s">
        <v>18</v>
      </c>
      <c r="F2" t="s">
        <v>2319</v>
      </c>
    </row>
    <row r="3" spans="1:10" x14ac:dyDescent="0.25">
      <c r="A3" s="1" t="s">
        <v>165</v>
      </c>
      <c r="B3" t="s">
        <v>165</v>
      </c>
      <c r="C3" t="s">
        <v>166</v>
      </c>
      <c r="D3">
        <v>79.900000000000006</v>
      </c>
      <c r="E3" t="str">
        <f>_xlfn.XLOOKUP(A3,Sheet1!A$2:A$800,Sheet1!G$2:G$800, "")</f>
        <v>Gas</v>
      </c>
      <c r="F3" t="s">
        <v>168</v>
      </c>
    </row>
    <row r="4" spans="1:10" s="19" customFormat="1" x14ac:dyDescent="0.25">
      <c r="A4" s="1" t="s">
        <v>169</v>
      </c>
      <c r="B4" t="s">
        <v>169</v>
      </c>
      <c r="C4" t="s">
        <v>170</v>
      </c>
      <c r="D4">
        <v>159.80000000000001</v>
      </c>
      <c r="E4" t="str">
        <f>_xlfn.XLOOKUP(A4,Sheet1!A$2:A$800,Sheet1!G$2:G$800, "")</f>
        <v>Gas</v>
      </c>
      <c r="F4" t="s">
        <v>172</v>
      </c>
    </row>
    <row r="5" spans="1:10" s="19" customFormat="1" x14ac:dyDescent="0.25">
      <c r="A5" s="1" t="s">
        <v>173</v>
      </c>
      <c r="B5" t="s">
        <v>173</v>
      </c>
      <c r="C5" t="s">
        <v>174</v>
      </c>
      <c r="D5">
        <v>115.45</v>
      </c>
      <c r="E5" t="str">
        <f>_xlfn.XLOOKUP(A5,Sheet1!A$2:A$800,Sheet1!G$2:G$800, "")</f>
        <v>Gas</v>
      </c>
      <c r="F5" t="s">
        <v>176</v>
      </c>
    </row>
    <row r="6" spans="1:10" s="19" customFormat="1" x14ac:dyDescent="0.25">
      <c r="A6" s="1" t="s">
        <v>617</v>
      </c>
      <c r="B6" t="s">
        <v>617</v>
      </c>
      <c r="C6" t="s">
        <v>618</v>
      </c>
      <c r="D6">
        <v>80.91</v>
      </c>
      <c r="E6" t="str">
        <f>_xlfn.XLOOKUP(A6,Sheet1!A$2:A$800,Sheet1!G$2:G$800, "")</f>
        <v>Gas</v>
      </c>
      <c r="F6" t="s">
        <v>619</v>
      </c>
    </row>
    <row r="7" spans="1:10" s="22" customFormat="1" x14ac:dyDescent="0.25">
      <c r="A7" s="26" t="s">
        <v>189</v>
      </c>
      <c r="B7" s="21" t="s">
        <v>165</v>
      </c>
      <c r="C7" s="21" t="s">
        <v>190</v>
      </c>
      <c r="D7" s="21">
        <v>79.900000000000006</v>
      </c>
      <c r="E7" s="21" t="str">
        <f>_xlfn.XLOOKUP(A7,Sheet1!A$2:A$800,Sheet1!G$2:G$800, "")</f>
        <v>Aerosol</v>
      </c>
      <c r="F7" s="21" t="s">
        <v>2299</v>
      </c>
      <c r="J7" s="22" t="s">
        <v>2297</v>
      </c>
    </row>
    <row r="8" spans="1:10" s="19" customFormat="1" x14ac:dyDescent="0.25">
      <c r="A8" s="26" t="s">
        <v>191</v>
      </c>
      <c r="B8" s="21" t="s">
        <v>165</v>
      </c>
      <c r="C8" s="21" t="s">
        <v>192</v>
      </c>
      <c r="D8" s="21">
        <v>79.900000000000006</v>
      </c>
      <c r="E8" s="21" t="str">
        <f>_xlfn.XLOOKUP(A8,Sheet1!A$2:A$800,Sheet1!G$2:G$800, "")</f>
        <v>Aerosol</v>
      </c>
      <c r="F8" s="21" t="s">
        <v>2299</v>
      </c>
    </row>
    <row r="9" spans="1:10" s="22" customFormat="1" x14ac:dyDescent="0.25">
      <c r="A9" s="1" t="s">
        <v>695</v>
      </c>
      <c r="B9" t="s">
        <v>695</v>
      </c>
      <c r="C9" t="s">
        <v>696</v>
      </c>
      <c r="D9">
        <v>96.91</v>
      </c>
      <c r="E9" t="str">
        <f>_xlfn.XLOOKUP(A9,Sheet1!A$2:A$800,Sheet1!G$2:G$800, "")</f>
        <v>Gas</v>
      </c>
      <c r="F9" t="s">
        <v>698</v>
      </c>
    </row>
    <row r="10" spans="1:10" s="19" customFormat="1" x14ac:dyDescent="0.25">
      <c r="A10" s="1" t="s">
        <v>954</v>
      </c>
      <c r="B10" t="s">
        <v>954</v>
      </c>
      <c r="C10" t="s">
        <v>955</v>
      </c>
      <c r="D10">
        <v>206.9</v>
      </c>
      <c r="E10" t="str">
        <f>_xlfn.XLOOKUP(A10,Sheet1!A$2:A$800,Sheet1!G$2:G$800, "")</f>
        <v>Gas</v>
      </c>
      <c r="F10" t="s">
        <v>957</v>
      </c>
    </row>
    <row r="11" spans="1:10" s="19" customFormat="1" x14ac:dyDescent="0.25">
      <c r="A11" s="1" t="s">
        <v>177</v>
      </c>
      <c r="B11" t="s">
        <v>177</v>
      </c>
      <c r="C11" t="s">
        <v>178</v>
      </c>
      <c r="D11">
        <v>125.91</v>
      </c>
      <c r="E11" t="str">
        <f>_xlfn.XLOOKUP(A11,Sheet1!A$2:A$800,Sheet1!G$2:G$800, "")</f>
        <v>Gas</v>
      </c>
      <c r="F11" t="s">
        <v>180</v>
      </c>
    </row>
    <row r="12" spans="1:10" s="19" customFormat="1" x14ac:dyDescent="0.25">
      <c r="A12" s="1" t="s">
        <v>181</v>
      </c>
      <c r="B12" t="s">
        <v>181</v>
      </c>
      <c r="C12" t="s">
        <v>182</v>
      </c>
      <c r="D12">
        <v>141.91</v>
      </c>
      <c r="E12" t="str">
        <f>_xlfn.XLOOKUP(A12,Sheet1!A$2:A$800,Sheet1!G$2:G$800, "")</f>
        <v>Gas</v>
      </c>
      <c r="F12" t="s">
        <v>184</v>
      </c>
    </row>
    <row r="13" spans="1:10" s="19" customFormat="1" x14ac:dyDescent="0.25">
      <c r="A13" s="1" t="s">
        <v>185</v>
      </c>
      <c r="B13" t="s">
        <v>185</v>
      </c>
      <c r="C13" t="s">
        <v>186</v>
      </c>
      <c r="D13">
        <v>95.9</v>
      </c>
      <c r="E13" t="str">
        <f>_xlfn.XLOOKUP(A13,Sheet1!A$2:A$800,Sheet1!G$2:G$800, "")</f>
        <v>Gas</v>
      </c>
      <c r="F13" t="s">
        <v>188</v>
      </c>
    </row>
    <row r="14" spans="1:10" s="22" customFormat="1" x14ac:dyDescent="0.25">
      <c r="A14" s="26" t="s">
        <v>1452</v>
      </c>
      <c r="B14" s="21"/>
      <c r="C14" s="21" t="s">
        <v>1453</v>
      </c>
      <c r="D14" s="21">
        <v>14.01</v>
      </c>
      <c r="E14" s="21" t="str">
        <f>_xlfn.XLOOKUP(A14,Sheet1!A$2:A$800,Sheet1!G$2:G$800, "")</f>
        <v>Aerosol</v>
      </c>
      <c r="F14" s="21" t="s">
        <v>1455</v>
      </c>
    </row>
    <row r="15" spans="1:10" s="22" customFormat="1" x14ac:dyDescent="0.25">
      <c r="A15" s="4" t="s">
        <v>1499</v>
      </c>
      <c r="B15" s="7"/>
      <c r="C15" s="7" t="s">
        <v>1500</v>
      </c>
      <c r="D15" s="7">
        <v>136.26</v>
      </c>
      <c r="E15" s="7" t="str">
        <f>_xlfn.XLOOKUP(A15,Sheet1!A$2:A$800,Sheet1!G$2:G$800, "")</f>
        <v>Gas</v>
      </c>
      <c r="F15" s="7" t="s">
        <v>2300</v>
      </c>
    </row>
    <row r="16" spans="1:10" s="22" customFormat="1" x14ac:dyDescent="0.25">
      <c r="A16" s="1" t="s">
        <v>1264</v>
      </c>
      <c r="B16" t="s">
        <v>1266</v>
      </c>
      <c r="C16" t="s">
        <v>1265</v>
      </c>
      <c r="D16">
        <v>136.26</v>
      </c>
      <c r="E16" t="str">
        <f>_xlfn.XLOOKUP(A16,Sheet1!A$2:A$800,Sheet1!G$2:G$800, "")</f>
        <v>Gas</v>
      </c>
      <c r="F16" t="s">
        <v>1268</v>
      </c>
    </row>
    <row r="17" spans="1:20" s="22" customFormat="1" x14ac:dyDescent="0.25">
      <c r="A17" s="4" t="s">
        <v>1503</v>
      </c>
      <c r="B17" s="7"/>
      <c r="C17" s="7" t="s">
        <v>1504</v>
      </c>
      <c r="D17" s="7">
        <v>136.26</v>
      </c>
      <c r="E17" s="7" t="str">
        <f>_xlfn.XLOOKUP(A17,Sheet1!A$2:A$800,Sheet1!G$2:G$800, "")</f>
        <v>Gas</v>
      </c>
      <c r="F17" s="7" t="s">
        <v>2301</v>
      </c>
    </row>
    <row r="18" spans="1:20" s="22" customFormat="1" x14ac:dyDescent="0.25">
      <c r="A18" s="4" t="s">
        <v>1723</v>
      </c>
      <c r="B18" s="7" t="s">
        <v>1724</v>
      </c>
      <c r="C18" s="7" t="s">
        <v>2243</v>
      </c>
      <c r="D18" s="7">
        <v>230.27</v>
      </c>
      <c r="E18" s="7" t="str">
        <f>_xlfn.XLOOKUP(A18,Sheet1!A$2:A$800,Sheet1!G$2:G$800, "")</f>
        <v>Gas</v>
      </c>
      <c r="F18" s="7" t="s">
        <v>1726</v>
      </c>
    </row>
    <row r="19" spans="1:20" s="23" customFormat="1" x14ac:dyDescent="0.25">
      <c r="A19" s="4" t="s">
        <v>1728</v>
      </c>
      <c r="B19" s="7" t="s">
        <v>1724</v>
      </c>
      <c r="C19" s="7" t="s">
        <v>2244</v>
      </c>
      <c r="D19" s="7">
        <v>230.27</v>
      </c>
      <c r="E19" s="7" t="str">
        <f>_xlfn.XLOOKUP(A19,Sheet1!A$2:A$800,Sheet1!G$2:G$800, "")</f>
        <v>Gas</v>
      </c>
      <c r="F19" s="7" t="s">
        <v>1729</v>
      </c>
    </row>
    <row r="20" spans="1:20" s="23" customFormat="1" x14ac:dyDescent="0.25">
      <c r="A20" s="37" t="s">
        <v>2184</v>
      </c>
      <c r="B20" s="38" t="s">
        <v>2185</v>
      </c>
      <c r="C20" s="38" t="s">
        <v>2186</v>
      </c>
      <c r="D20" s="38">
        <v>186.28</v>
      </c>
      <c r="E20" s="38" t="s">
        <v>18</v>
      </c>
      <c r="F20" s="38" t="s">
        <v>2187</v>
      </c>
    </row>
    <row r="21" spans="1:20" s="23" customFormat="1" x14ac:dyDescent="0.25">
      <c r="A21" s="37" t="s">
        <v>2192</v>
      </c>
      <c r="B21" s="38" t="s">
        <v>2185</v>
      </c>
      <c r="C21" s="38" t="s">
        <v>2193</v>
      </c>
      <c r="D21" s="38">
        <v>186.28</v>
      </c>
      <c r="E21" s="38" t="s">
        <v>18</v>
      </c>
      <c r="F21" s="38" t="s">
        <v>2187</v>
      </c>
    </row>
    <row r="22" spans="1:20" s="23" customFormat="1" x14ac:dyDescent="0.25">
      <c r="A22" s="31" t="s">
        <v>2252</v>
      </c>
      <c r="B22" s="35" t="s">
        <v>2185</v>
      </c>
      <c r="C22" s="35" t="s">
        <v>2253</v>
      </c>
      <c r="D22" s="35">
        <v>186.28</v>
      </c>
      <c r="E22" s="35" t="s">
        <v>18</v>
      </c>
      <c r="F22" s="35" t="s">
        <v>2187</v>
      </c>
    </row>
    <row r="23" spans="1:20" s="16" customFormat="1" x14ac:dyDescent="0.25">
      <c r="A23" s="37" t="s">
        <v>2188</v>
      </c>
      <c r="B23" s="38" t="s">
        <v>2189</v>
      </c>
      <c r="C23" s="38" t="s">
        <v>2190</v>
      </c>
      <c r="D23" s="38">
        <v>186.28</v>
      </c>
      <c r="E23" s="38" t="s">
        <v>18</v>
      </c>
      <c r="F23" s="38" t="s">
        <v>2191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 x14ac:dyDescent="0.25">
      <c r="A24" s="4" t="s">
        <v>1460</v>
      </c>
      <c r="B24" s="7" t="s">
        <v>1457</v>
      </c>
      <c r="C24" s="7" t="s">
        <v>2231</v>
      </c>
      <c r="D24" s="7">
        <v>215.28</v>
      </c>
      <c r="E24" s="7" t="str">
        <f>_xlfn.XLOOKUP(A24,Sheet1!A$2:A$800,Sheet1!G$2:G$800, "")</f>
        <v>Gas</v>
      </c>
      <c r="F24" s="7" t="s">
        <v>1461</v>
      </c>
    </row>
    <row r="25" spans="1:20" s="16" customFormat="1" x14ac:dyDescent="0.25">
      <c r="A25" s="4" t="s">
        <v>1456</v>
      </c>
      <c r="B25" s="7" t="s">
        <v>1457</v>
      </c>
      <c r="C25" s="7" t="s">
        <v>2230</v>
      </c>
      <c r="D25" s="7">
        <v>215.28</v>
      </c>
      <c r="E25" s="7" t="str">
        <f>_xlfn.XLOOKUP(A25,Sheet1!A$2:A$800,Sheet1!G$2:G$800, "")</f>
        <v>Gas</v>
      </c>
      <c r="F25" s="7" t="s">
        <v>1458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1:20" s="16" customFormat="1" x14ac:dyDescent="0.25">
      <c r="A26" s="1" t="s">
        <v>1271</v>
      </c>
      <c r="B26" t="s">
        <v>1273</v>
      </c>
      <c r="C26" t="s">
        <v>1272</v>
      </c>
      <c r="D26">
        <v>185.27</v>
      </c>
      <c r="E26" t="str">
        <f>_xlfn.XLOOKUP(A26,Sheet1!A$2:A$800,Sheet1!G$2:G$800, "")</f>
        <v>Gas</v>
      </c>
      <c r="F26" t="s">
        <v>1274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s="36" customFormat="1" x14ac:dyDescent="0.25">
      <c r="A27" s="4" t="s">
        <v>1751</v>
      </c>
      <c r="B27" s="7" t="s">
        <v>1273</v>
      </c>
      <c r="C27" s="7" t="s">
        <v>1752</v>
      </c>
      <c r="D27" s="7">
        <v>185.27</v>
      </c>
      <c r="E27" t="str">
        <f>_xlfn.XLOOKUP(A27,Sheet1!A$2:A$800,Sheet1!G$2:G$800, "")</f>
        <v>Gas</v>
      </c>
      <c r="F27" s="7" t="s">
        <v>1753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 spans="1:20" s="16" customFormat="1" x14ac:dyDescent="0.25">
      <c r="A28" s="31" t="s">
        <v>2201</v>
      </c>
      <c r="B28" s="35" t="s">
        <v>1757</v>
      </c>
      <c r="C28" s="35" t="s">
        <v>2202</v>
      </c>
      <c r="D28" s="35">
        <v>186.28</v>
      </c>
      <c r="E28" s="35" t="s">
        <v>18</v>
      </c>
      <c r="F28" s="35" t="s">
        <v>2066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1:20" s="16" customFormat="1" x14ac:dyDescent="0.25">
      <c r="A29" s="37" t="s">
        <v>2258</v>
      </c>
      <c r="B29" s="38" t="s">
        <v>1757</v>
      </c>
      <c r="C29" s="38" t="s">
        <v>2259</v>
      </c>
      <c r="D29" s="38">
        <v>186.28</v>
      </c>
      <c r="E29" s="38" t="s">
        <v>18</v>
      </c>
      <c r="F29" s="38" t="s">
        <v>2066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0" spans="1:20" x14ac:dyDescent="0.25">
      <c r="A30" s="4" t="s">
        <v>1755</v>
      </c>
      <c r="B30" s="7" t="s">
        <v>1757</v>
      </c>
      <c r="C30" s="7" t="s">
        <v>1756</v>
      </c>
      <c r="D30" s="7">
        <v>186.28</v>
      </c>
      <c r="E30" t="str">
        <f>_xlfn.XLOOKUP(A30,Sheet1!A$2:A$800,Sheet1!G$2:G$800, "")</f>
        <v>Gas</v>
      </c>
      <c r="F30" s="7" t="s">
        <v>1758</v>
      </c>
    </row>
    <row r="31" spans="1:20" x14ac:dyDescent="0.25">
      <c r="A31" s="31" t="s">
        <v>2205</v>
      </c>
      <c r="B31" s="35" t="s">
        <v>2206</v>
      </c>
      <c r="C31" s="35" t="s">
        <v>2207</v>
      </c>
      <c r="D31" s="35">
        <v>186.28</v>
      </c>
      <c r="E31" s="35" t="s">
        <v>18</v>
      </c>
      <c r="F31" s="35" t="s">
        <v>2208</v>
      </c>
    </row>
    <row r="32" spans="1:20" x14ac:dyDescent="0.25">
      <c r="A32" s="37" t="s">
        <v>2256</v>
      </c>
      <c r="B32" s="38" t="s">
        <v>2206</v>
      </c>
      <c r="C32" s="38" t="s">
        <v>2257</v>
      </c>
      <c r="D32" s="38">
        <v>186.28</v>
      </c>
      <c r="E32" s="38" t="s">
        <v>18</v>
      </c>
      <c r="F32" s="38" t="s">
        <v>2208</v>
      </c>
    </row>
    <row r="33" spans="1:20" x14ac:dyDescent="0.25">
      <c r="A33" s="1" t="s">
        <v>1583</v>
      </c>
      <c r="B33" t="s">
        <v>1585</v>
      </c>
      <c r="C33" t="s">
        <v>1584</v>
      </c>
      <c r="D33">
        <v>128.18</v>
      </c>
      <c r="E33" t="str">
        <f>_xlfn.XLOOKUP(A33,Sheet1!A$2:A$800,Sheet1!G$2:G$800, "")</f>
        <v>Gas</v>
      </c>
      <c r="F33" t="s">
        <v>1587</v>
      </c>
    </row>
    <row r="34" spans="1:20" x14ac:dyDescent="0.25">
      <c r="A34" s="1" t="s">
        <v>1634</v>
      </c>
      <c r="B34" t="s">
        <v>1636</v>
      </c>
      <c r="C34" t="s">
        <v>1635</v>
      </c>
      <c r="D34">
        <v>159.16999999999999</v>
      </c>
      <c r="E34" t="str">
        <f>_xlfn.XLOOKUP(A34,Sheet1!A$2:A$800,Sheet1!G$2:G$800, "")</f>
        <v>Gas</v>
      </c>
      <c r="F34" t="s">
        <v>1638</v>
      </c>
    </row>
    <row r="35" spans="1:20" x14ac:dyDescent="0.25">
      <c r="A35" s="1" t="s">
        <v>598</v>
      </c>
      <c r="B35" t="s">
        <v>600</v>
      </c>
      <c r="C35" t="s">
        <v>599</v>
      </c>
      <c r="D35">
        <v>259.82</v>
      </c>
      <c r="E35" t="str">
        <f>_xlfn.XLOOKUP(A35,Sheet1!A$2:A$800,Sheet1!G$2:G$800, "")</f>
        <v>Gas</v>
      </c>
      <c r="F35" t="s">
        <v>602</v>
      </c>
    </row>
    <row r="36" spans="1:20" x14ac:dyDescent="0.25">
      <c r="A36" s="1" t="s">
        <v>233</v>
      </c>
      <c r="B36" t="s">
        <v>235</v>
      </c>
      <c r="C36" t="s">
        <v>234</v>
      </c>
      <c r="D36">
        <v>170.92</v>
      </c>
      <c r="E36" t="str">
        <f>_xlfn.XLOOKUP(A36,Sheet1!A$2:A$800,Sheet1!G$2:G$800, "")</f>
        <v>Gas</v>
      </c>
      <c r="F36" t="s">
        <v>237</v>
      </c>
    </row>
    <row r="37" spans="1:20" x14ac:dyDescent="0.25">
      <c r="A37" s="1" t="s">
        <v>228</v>
      </c>
      <c r="B37" t="s">
        <v>230</v>
      </c>
      <c r="C37" t="s">
        <v>229</v>
      </c>
      <c r="D37">
        <v>187.38</v>
      </c>
      <c r="E37" t="str">
        <f>_xlfn.XLOOKUP(A37,Sheet1!A$2:A$800,Sheet1!G$2:G$800, "")</f>
        <v>Gas</v>
      </c>
      <c r="F37" t="s">
        <v>232</v>
      </c>
    </row>
    <row r="38" spans="1:20" s="16" customFormat="1" x14ac:dyDescent="0.25">
      <c r="A38" s="1" t="s">
        <v>238</v>
      </c>
      <c r="B38" t="s">
        <v>240</v>
      </c>
      <c r="C38" t="s">
        <v>239</v>
      </c>
      <c r="D38">
        <v>154.47</v>
      </c>
      <c r="E38" t="str">
        <f>_xlfn.XLOOKUP(A38,Sheet1!A$2:A$800,Sheet1!G$2:G$800, "")</f>
        <v>Gas</v>
      </c>
      <c r="F38" t="s">
        <v>242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0" s="16" customFormat="1" x14ac:dyDescent="0.25">
      <c r="A39" s="1" t="s">
        <v>196</v>
      </c>
      <c r="B39" t="s">
        <v>196</v>
      </c>
      <c r="C39" t="s">
        <v>197</v>
      </c>
      <c r="D39">
        <v>26.05</v>
      </c>
      <c r="E39" t="str">
        <f>_xlfn.XLOOKUP(A39,Sheet1!A$2:A$800,Sheet1!G$2:G$800, "")</f>
        <v>Gas</v>
      </c>
      <c r="F39" t="s">
        <v>199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0" s="16" customFormat="1" x14ac:dyDescent="0.25">
      <c r="A40" s="1" t="s">
        <v>574</v>
      </c>
      <c r="B40" s="15" t="s">
        <v>2128</v>
      </c>
      <c r="C40" s="15" t="s">
        <v>575</v>
      </c>
      <c r="D40" s="15">
        <v>58.04</v>
      </c>
      <c r="E40" t="str">
        <f>_xlfn.XLOOKUP(A40,Sheet1!A$2:A$800,Sheet1!G$2:G$800, "")</f>
        <v>Gas</v>
      </c>
      <c r="F40" s="15" t="s">
        <v>578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s="16" customFormat="1" x14ac:dyDescent="0.25">
      <c r="A41" s="26" t="s">
        <v>1958</v>
      </c>
      <c r="B41" s="21" t="s">
        <v>2286</v>
      </c>
      <c r="C41" s="21" t="s">
        <v>1959</v>
      </c>
      <c r="D41" s="21">
        <v>58.04</v>
      </c>
      <c r="E41" s="21" t="str">
        <f>_xlfn.XLOOKUP(A41,Sheet1!A$2:A$800,Sheet1!G$2:G$800, "")</f>
        <v>Aerosol</v>
      </c>
      <c r="F41" s="21" t="s">
        <v>1961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 s="16" customFormat="1" x14ac:dyDescent="0.25">
      <c r="A42" s="1" t="s">
        <v>639</v>
      </c>
      <c r="B42" t="s">
        <v>641</v>
      </c>
      <c r="C42" t="s">
        <v>640</v>
      </c>
      <c r="D42">
        <v>116.94</v>
      </c>
      <c r="E42" t="str">
        <f>_xlfn.XLOOKUP(A42,Sheet1!A$2:A$800,Sheet1!G$2:G$800, "")</f>
        <v>Gas</v>
      </c>
      <c r="F42" t="s">
        <v>643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0" s="16" customFormat="1" x14ac:dyDescent="0.25">
      <c r="A43" s="1" t="s">
        <v>284</v>
      </c>
      <c r="B43" t="s">
        <v>284</v>
      </c>
      <c r="C43" t="s">
        <v>285</v>
      </c>
      <c r="D43">
        <v>133.35</v>
      </c>
      <c r="E43" t="str">
        <f>_xlfn.XLOOKUP(A43,Sheet1!A$2:A$800,Sheet1!G$2:G$800, "")</f>
        <v>Gas</v>
      </c>
      <c r="F43" t="s">
        <v>287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1:20" s="9" customFormat="1" x14ac:dyDescent="0.25">
      <c r="A44" s="1" t="s">
        <v>644</v>
      </c>
      <c r="B44" t="s">
        <v>646</v>
      </c>
      <c r="C44" t="s">
        <v>645</v>
      </c>
      <c r="D44">
        <v>100.5</v>
      </c>
      <c r="E44" t="str">
        <f>_xlfn.XLOOKUP(A44,Sheet1!A$2:A$800,Sheet1!G$2:G$800, "")</f>
        <v>Gas</v>
      </c>
      <c r="F44" t="s">
        <v>648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1:20" x14ac:dyDescent="0.25">
      <c r="A45" s="1" t="s">
        <v>512</v>
      </c>
      <c r="B45" t="s">
        <v>2119</v>
      </c>
      <c r="C45" t="s">
        <v>2120</v>
      </c>
      <c r="D45">
        <v>105.06</v>
      </c>
      <c r="E45" t="str">
        <f>_xlfn.XLOOKUP(A45,Sheet1!A$2:A$800,Sheet1!G$2:G$800, "")</f>
        <v>Gas</v>
      </c>
      <c r="F45" t="s">
        <v>516</v>
      </c>
    </row>
    <row r="46" spans="1:20" s="15" customFormat="1" x14ac:dyDescent="0.25">
      <c r="A46" s="1" t="s">
        <v>1740</v>
      </c>
      <c r="B46" t="s">
        <v>2245</v>
      </c>
      <c r="C46" t="s">
        <v>1741</v>
      </c>
      <c r="D46">
        <v>121.06</v>
      </c>
      <c r="E46" t="str">
        <f>_xlfn.XLOOKUP(A46,Sheet1!A$2:A$800,Sheet1!G$2:G$800, "")</f>
        <v>Gas</v>
      </c>
      <c r="F46" t="s">
        <v>1744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spans="1:20" s="16" customFormat="1" x14ac:dyDescent="0.25">
      <c r="A47" s="31" t="s">
        <v>1359</v>
      </c>
      <c r="B47" s="32" t="s">
        <v>2215</v>
      </c>
      <c r="C47" s="32" t="s">
        <v>2216</v>
      </c>
      <c r="D47" s="32">
        <v>75.05</v>
      </c>
      <c r="E47" s="32" t="str">
        <f>_xlfn.XLOOKUP(A47,Sheet1!A$2:A$800,Sheet1!G$2:G$800, "")</f>
        <v>Gas</v>
      </c>
      <c r="F47" s="32" t="s">
        <v>2217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1:20" s="16" customFormat="1" x14ac:dyDescent="0.25">
      <c r="A48" s="1" t="s">
        <v>200</v>
      </c>
      <c r="B48" t="s">
        <v>200</v>
      </c>
      <c r="C48" t="s">
        <v>201</v>
      </c>
      <c r="D48">
        <v>28.05</v>
      </c>
      <c r="E48" t="str">
        <f>_xlfn.XLOOKUP(A48,Sheet1!A$2:A$800,Sheet1!G$2:G$800, "")</f>
        <v>Gas</v>
      </c>
      <c r="F48" t="s">
        <v>203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1:20" x14ac:dyDescent="0.25">
      <c r="A49" s="1" t="s">
        <v>37</v>
      </c>
      <c r="B49" t="s">
        <v>39</v>
      </c>
      <c r="C49" t="s">
        <v>38</v>
      </c>
      <c r="D49">
        <v>44.06</v>
      </c>
      <c r="E49" t="str">
        <f>_xlfn.XLOOKUP(A49,Sheet1!A$2:A$800,Sheet1!G$2:G$800, "")</f>
        <v>Gas</v>
      </c>
      <c r="F49" t="s">
        <v>41</v>
      </c>
    </row>
    <row r="50" spans="1:20" x14ac:dyDescent="0.25">
      <c r="A50" s="1" t="s">
        <v>26</v>
      </c>
      <c r="B50" t="s">
        <v>28</v>
      </c>
      <c r="C50" t="s">
        <v>27</v>
      </c>
      <c r="D50">
        <v>60.06</v>
      </c>
      <c r="E50" t="str">
        <f>_xlfn.XLOOKUP(A50,Sheet1!A$2:A$800,Sheet1!G$2:G$800, "")</f>
        <v>Gas</v>
      </c>
      <c r="F50" t="s">
        <v>30</v>
      </c>
    </row>
    <row r="51" spans="1:20" s="11" customFormat="1" x14ac:dyDescent="0.25">
      <c r="A51" s="1" t="s">
        <v>289</v>
      </c>
      <c r="B51" t="s">
        <v>289</v>
      </c>
      <c r="C51" t="s">
        <v>274</v>
      </c>
      <c r="D51">
        <v>60.06</v>
      </c>
      <c r="E51" t="str">
        <f>_xlfn.XLOOKUP(A51,Sheet1!A$2:A$800,Sheet1!G$2:G$800, "")</f>
        <v>Gas</v>
      </c>
      <c r="F51" t="s">
        <v>292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spans="1:20" x14ac:dyDescent="0.25">
      <c r="A52" s="1" t="s">
        <v>568</v>
      </c>
      <c r="B52" t="s">
        <v>573</v>
      </c>
      <c r="C52" t="s">
        <v>2127</v>
      </c>
      <c r="D52">
        <v>60.06</v>
      </c>
      <c r="E52" t="str">
        <f>_xlfn.XLOOKUP(A52,Sheet1!A$2:A$800,Sheet1!G$2:G$800, "")</f>
        <v>Gas</v>
      </c>
      <c r="F52" t="s">
        <v>572</v>
      </c>
    </row>
    <row r="53" spans="1:20" x14ac:dyDescent="0.25">
      <c r="A53" s="1" t="s">
        <v>1343</v>
      </c>
      <c r="B53" t="s">
        <v>1345</v>
      </c>
      <c r="C53" t="s">
        <v>1344</v>
      </c>
      <c r="D53">
        <v>76.06</v>
      </c>
      <c r="E53" t="str">
        <f>_xlfn.XLOOKUP(A53,Sheet1!A$2:A$800,Sheet1!G$2:G$800, "")</f>
        <v>Gas</v>
      </c>
      <c r="F53" t="s">
        <v>1347</v>
      </c>
    </row>
    <row r="54" spans="1:20" x14ac:dyDescent="0.25">
      <c r="A54" s="1" t="s">
        <v>2130</v>
      </c>
      <c r="B54" s="15" t="s">
        <v>2131</v>
      </c>
      <c r="C54" s="15" t="s">
        <v>2132</v>
      </c>
      <c r="D54" s="15">
        <v>76.051400000000001</v>
      </c>
      <c r="E54" t="s">
        <v>18</v>
      </c>
      <c r="F54" s="15" t="s">
        <v>2314</v>
      </c>
    </row>
    <row r="55" spans="1:20" x14ac:dyDescent="0.25">
      <c r="A55" s="1" t="s">
        <v>750</v>
      </c>
      <c r="B55" t="s">
        <v>2143</v>
      </c>
      <c r="C55" t="s">
        <v>751</v>
      </c>
      <c r="D55">
        <v>76.06</v>
      </c>
      <c r="E55" t="str">
        <f>_xlfn.XLOOKUP(A55,Sheet1!A$2:A$800,Sheet1!G$2:G$800, "")</f>
        <v>Gas</v>
      </c>
      <c r="F55" t="s">
        <v>754</v>
      </c>
    </row>
    <row r="56" spans="1:20" x14ac:dyDescent="0.25">
      <c r="A56" s="1" t="s">
        <v>530</v>
      </c>
      <c r="B56" t="s">
        <v>532</v>
      </c>
      <c r="C56" t="s">
        <v>531</v>
      </c>
      <c r="D56">
        <v>91.08</v>
      </c>
      <c r="E56" t="str">
        <f>_xlfn.XLOOKUP(A56,Sheet1!A$2:A$800,Sheet1!G$2:G$800, "")</f>
        <v>Gas</v>
      </c>
      <c r="F56" t="s">
        <v>534</v>
      </c>
    </row>
    <row r="57" spans="1:20" x14ac:dyDescent="0.25">
      <c r="A57" s="1" t="s">
        <v>518</v>
      </c>
      <c r="B57" t="s">
        <v>520</v>
      </c>
      <c r="C57" t="s">
        <v>519</v>
      </c>
      <c r="D57">
        <v>107.07</v>
      </c>
      <c r="E57" t="str">
        <f>_xlfn.XLOOKUP(A57,Sheet1!A$2:A$800,Sheet1!G$2:G$800, "")</f>
        <v>Gas</v>
      </c>
      <c r="F57" t="s">
        <v>522</v>
      </c>
    </row>
    <row r="58" spans="1:20" x14ac:dyDescent="0.25">
      <c r="A58" s="1" t="s">
        <v>536</v>
      </c>
      <c r="B58" t="s">
        <v>538</v>
      </c>
      <c r="C58" t="s">
        <v>537</v>
      </c>
      <c r="D58">
        <v>61.06</v>
      </c>
      <c r="E58" t="str">
        <f>_xlfn.XLOOKUP(A58,Sheet1!A$2:A$800,Sheet1!G$2:G$800, "")</f>
        <v>Gas</v>
      </c>
      <c r="F58" t="s">
        <v>540</v>
      </c>
    </row>
    <row r="59" spans="1:20" x14ac:dyDescent="0.25">
      <c r="A59" s="1" t="s">
        <v>542</v>
      </c>
      <c r="B59" t="s">
        <v>543</v>
      </c>
      <c r="C59" t="s">
        <v>542</v>
      </c>
      <c r="D59">
        <v>61.07</v>
      </c>
      <c r="E59" t="str">
        <f>_xlfn.XLOOKUP(A59,Sheet1!A$2:A$800,Sheet1!G$2:G$800, "")</f>
        <v>Gas</v>
      </c>
      <c r="F59" t="s">
        <v>545</v>
      </c>
    </row>
    <row r="60" spans="1:20" x14ac:dyDescent="0.25">
      <c r="A60" s="4" t="s">
        <v>1738</v>
      </c>
      <c r="B60" s="7" t="s">
        <v>543</v>
      </c>
      <c r="C60" s="7" t="s">
        <v>1739</v>
      </c>
      <c r="D60" s="7">
        <v>61.07</v>
      </c>
      <c r="E60" s="7" t="str">
        <f>_xlfn.XLOOKUP(A60,Sheet1!A$2:A$800,Sheet1!G$2:G$800, "")</f>
        <v>Gas</v>
      </c>
      <c r="F60" s="7" t="s">
        <v>545</v>
      </c>
    </row>
    <row r="61" spans="1:20" x14ac:dyDescent="0.25">
      <c r="A61" s="1" t="s">
        <v>547</v>
      </c>
      <c r="B61" t="s">
        <v>549</v>
      </c>
      <c r="C61" t="s">
        <v>548</v>
      </c>
      <c r="D61">
        <v>77.06</v>
      </c>
      <c r="E61" t="str">
        <f>_xlfn.XLOOKUP(A61,Sheet1!A$2:A$800,Sheet1!G$2:G$800, "")</f>
        <v>Gas</v>
      </c>
      <c r="F61" t="s">
        <v>551</v>
      </c>
    </row>
    <row r="62" spans="1:20" x14ac:dyDescent="0.25">
      <c r="A62" s="1" t="s">
        <v>204</v>
      </c>
      <c r="B62" t="s">
        <v>204</v>
      </c>
      <c r="C62" t="s">
        <v>205</v>
      </c>
      <c r="D62">
        <v>30.08</v>
      </c>
      <c r="E62" t="str">
        <f>_xlfn.XLOOKUP(A62,Sheet1!A$2:A$800,Sheet1!G$2:G$800, "")</f>
        <v>Gas</v>
      </c>
      <c r="F62" t="s">
        <v>207</v>
      </c>
    </row>
    <row r="63" spans="1:20" x14ac:dyDescent="0.25">
      <c r="A63" s="1" t="s">
        <v>507</v>
      </c>
      <c r="B63" t="s">
        <v>509</v>
      </c>
      <c r="C63" t="s">
        <v>508</v>
      </c>
      <c r="D63">
        <v>46.07</v>
      </c>
      <c r="E63" t="str">
        <f>_xlfn.XLOOKUP(A63,Sheet1!A$2:A$800,Sheet1!G$2:G$800, "")</f>
        <v>Gas</v>
      </c>
      <c r="F63" t="s">
        <v>511</v>
      </c>
    </row>
    <row r="64" spans="1:20" s="15" customFormat="1" x14ac:dyDescent="0.25">
      <c r="A64" s="1" t="s">
        <v>553</v>
      </c>
      <c r="B64" t="s">
        <v>555</v>
      </c>
      <c r="C64" t="s">
        <v>554</v>
      </c>
      <c r="D64">
        <v>62.08</v>
      </c>
      <c r="E64" t="str">
        <f>_xlfn.XLOOKUP(A64,Sheet1!A$2:A$800,Sheet1!G$2:G$800, "")</f>
        <v>Gas</v>
      </c>
      <c r="F64" t="s">
        <v>557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 spans="1:20" x14ac:dyDescent="0.25">
      <c r="A65" s="1" t="s">
        <v>524</v>
      </c>
      <c r="B65" t="s">
        <v>526</v>
      </c>
      <c r="C65" t="s">
        <v>525</v>
      </c>
      <c r="D65">
        <v>78.069999999999993</v>
      </c>
      <c r="E65" t="str">
        <f>_xlfn.XLOOKUP(A65,Sheet1!A$2:A$800,Sheet1!G$2:G$800, "")</f>
        <v>Gas</v>
      </c>
      <c r="F65" t="s">
        <v>528</v>
      </c>
    </row>
    <row r="66" spans="1:20" x14ac:dyDescent="0.25">
      <c r="A66" s="26" t="s">
        <v>486</v>
      </c>
      <c r="B66" s="21" t="s">
        <v>2116</v>
      </c>
      <c r="C66" s="21" t="s">
        <v>487</v>
      </c>
      <c r="D66" s="21">
        <v>62.13</v>
      </c>
      <c r="E66" s="21" t="str">
        <f>_xlfn.XLOOKUP(A66,Sheet1!A$2:A$800,Sheet1!G$2:G$800, "")</f>
        <v>Aerosol</v>
      </c>
      <c r="F66" s="21" t="s">
        <v>490</v>
      </c>
    </row>
    <row r="67" spans="1:20" s="9" customFormat="1" x14ac:dyDescent="0.25">
      <c r="A67" s="1" t="s">
        <v>634</v>
      </c>
      <c r="B67" t="s">
        <v>636</v>
      </c>
      <c r="C67" t="s">
        <v>635</v>
      </c>
      <c r="D67">
        <v>152.93</v>
      </c>
      <c r="E67" t="str">
        <f>_xlfn.XLOOKUP(A67,Sheet1!A$2:A$800,Sheet1!G$2:G$800, "")</f>
        <v>Gas</v>
      </c>
      <c r="F67" t="s">
        <v>638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1:20" s="9" customFormat="1" x14ac:dyDescent="0.25">
      <c r="A68" s="1" t="s">
        <v>1425</v>
      </c>
      <c r="B68" t="s">
        <v>2228</v>
      </c>
      <c r="C68" t="s">
        <v>2229</v>
      </c>
      <c r="D68">
        <v>72.069999999999993</v>
      </c>
      <c r="E68" t="str">
        <f>_xlfn.XLOOKUP(A68,Sheet1!A$2:A$800,Sheet1!G$2:G$800, "")</f>
        <v>Gas</v>
      </c>
      <c r="F68" t="s">
        <v>1429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1:20" s="9" customFormat="1" x14ac:dyDescent="0.25">
      <c r="A69" s="1" t="s">
        <v>1821</v>
      </c>
      <c r="B69" t="s">
        <v>1421</v>
      </c>
      <c r="C69" t="s">
        <v>2267</v>
      </c>
      <c r="D69">
        <v>88.07</v>
      </c>
      <c r="E69" t="str">
        <f>_xlfn.XLOOKUP(A69,Sheet1!A$2:A$800,Sheet1!G$2:G$800, "")</f>
        <v>Gas</v>
      </c>
      <c r="F69" t="s">
        <v>1824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1:20" x14ac:dyDescent="0.25">
      <c r="A70" s="1" t="s">
        <v>1801</v>
      </c>
      <c r="B70" t="s">
        <v>2263</v>
      </c>
      <c r="C70" t="s">
        <v>2264</v>
      </c>
      <c r="D70">
        <v>119.08</v>
      </c>
      <c r="E70" t="str">
        <f>_xlfn.XLOOKUP(A70,Sheet1!A$2:A$800,Sheet1!G$2:G$800, "")</f>
        <v>Gas</v>
      </c>
      <c r="F70" t="s">
        <v>1805</v>
      </c>
    </row>
    <row r="71" spans="1:20" x14ac:dyDescent="0.25">
      <c r="A71" s="4" t="s">
        <v>1791</v>
      </c>
      <c r="B71" s="7" t="s">
        <v>2262</v>
      </c>
      <c r="C71" s="7" t="s">
        <v>1792</v>
      </c>
      <c r="D71" s="7">
        <v>135.08000000000001</v>
      </c>
      <c r="E71" t="str">
        <f>_xlfn.XLOOKUP(A71,Sheet1!A$2:A$800,Sheet1!G$2:G$800, "")</f>
        <v>Gas</v>
      </c>
      <c r="F71" s="7" t="s">
        <v>1795</v>
      </c>
    </row>
    <row r="72" spans="1:20" x14ac:dyDescent="0.25">
      <c r="A72" s="1" t="s">
        <v>75</v>
      </c>
      <c r="B72" t="s">
        <v>77</v>
      </c>
      <c r="C72" t="s">
        <v>76</v>
      </c>
      <c r="D72">
        <v>89.08</v>
      </c>
      <c r="E72" t="str">
        <f>_xlfn.XLOOKUP(A72,Sheet1!A$2:A$800,Sheet1!G$2:G$800, "")</f>
        <v>Gas</v>
      </c>
      <c r="F72" t="s">
        <v>79</v>
      </c>
    </row>
    <row r="73" spans="1:20" x14ac:dyDescent="0.25">
      <c r="A73" s="4" t="s">
        <v>1807</v>
      </c>
      <c r="B73" s="7" t="s">
        <v>1809</v>
      </c>
      <c r="C73" s="7" t="s">
        <v>1808</v>
      </c>
      <c r="D73" s="7">
        <v>42.09</v>
      </c>
      <c r="E73" t="str">
        <f>_xlfn.XLOOKUP(A73,Sheet1!A$2:A$800,Sheet1!G$2:G$800, "")</f>
        <v>Gas</v>
      </c>
      <c r="F73" s="7" t="s">
        <v>1811</v>
      </c>
    </row>
    <row r="74" spans="1:20" x14ac:dyDescent="0.25">
      <c r="A74" s="1" t="s">
        <v>1796</v>
      </c>
      <c r="B74" t="s">
        <v>1798</v>
      </c>
      <c r="C74" t="s">
        <v>1797</v>
      </c>
      <c r="D74">
        <v>136.09</v>
      </c>
      <c r="E74" t="str">
        <f>_xlfn.XLOOKUP(A74,Sheet1!A$2:A$800,Sheet1!G$2:G$800, "")</f>
        <v>Gas</v>
      </c>
      <c r="F74" t="s">
        <v>2302</v>
      </c>
    </row>
    <row r="75" spans="1:20" x14ac:dyDescent="0.25">
      <c r="A75" s="4" t="s">
        <v>1864</v>
      </c>
      <c r="B75" s="7" t="s">
        <v>1866</v>
      </c>
      <c r="C75" s="7" t="s">
        <v>1865</v>
      </c>
      <c r="D75" s="7">
        <v>58.09</v>
      </c>
      <c r="E75" t="str">
        <f>_xlfn.XLOOKUP(A75,Sheet1!A$2:A$800,Sheet1!G$2:G$800, "")</f>
        <v>Gas</v>
      </c>
      <c r="F75" s="7" t="s">
        <v>1868</v>
      </c>
    </row>
    <row r="76" spans="1:20" x14ac:dyDescent="0.25">
      <c r="A76" s="1" t="s">
        <v>20</v>
      </c>
      <c r="B76" t="s">
        <v>22</v>
      </c>
      <c r="C76" t="s">
        <v>21</v>
      </c>
      <c r="D76">
        <v>58.09</v>
      </c>
      <c r="E76" t="str">
        <f>_xlfn.XLOOKUP(A76,Sheet1!A$2:A$800,Sheet1!G$2:G$800, "")</f>
        <v>Gas</v>
      </c>
      <c r="F76" t="s">
        <v>24</v>
      </c>
    </row>
    <row r="77" spans="1:20" x14ac:dyDescent="0.25">
      <c r="A77" s="1" t="s">
        <v>611</v>
      </c>
      <c r="B77" t="s">
        <v>2129</v>
      </c>
      <c r="C77" t="s">
        <v>612</v>
      </c>
      <c r="D77">
        <v>74.08</v>
      </c>
      <c r="E77" t="str">
        <f>_xlfn.XLOOKUP(A77,Sheet1!A$2:A$800,Sheet1!G$2:G$800, "")</f>
        <v>Gas</v>
      </c>
      <c r="F77" t="s">
        <v>615</v>
      </c>
    </row>
    <row r="78" spans="1:20" x14ac:dyDescent="0.25">
      <c r="A78" s="1" t="s">
        <v>1870</v>
      </c>
      <c r="B78" t="s">
        <v>1872</v>
      </c>
      <c r="C78" t="s">
        <v>1871</v>
      </c>
      <c r="D78">
        <v>89.08</v>
      </c>
      <c r="E78" t="str">
        <f>_xlfn.XLOOKUP(A78,Sheet1!A$2:A$800,Sheet1!G$2:G$800, "")</f>
        <v>Gas</v>
      </c>
      <c r="F78" t="s">
        <v>1874</v>
      </c>
    </row>
    <row r="79" spans="1:20" x14ac:dyDescent="0.25">
      <c r="A79" s="1" t="s">
        <v>1911</v>
      </c>
      <c r="B79" t="s">
        <v>1913</v>
      </c>
      <c r="C79" t="s">
        <v>1912</v>
      </c>
      <c r="D79">
        <v>90.09</v>
      </c>
      <c r="E79" t="str">
        <f>_xlfn.XLOOKUP(A79,Sheet1!A$2:A$800,Sheet1!G$2:G$800, "")</f>
        <v>Gas</v>
      </c>
      <c r="F79" t="s">
        <v>2303</v>
      </c>
    </row>
    <row r="80" spans="1:20" x14ac:dyDescent="0.25">
      <c r="A80" s="1" t="s">
        <v>81</v>
      </c>
      <c r="B80" t="s">
        <v>2076</v>
      </c>
      <c r="C80" t="s">
        <v>2077</v>
      </c>
      <c r="D80">
        <v>90.09</v>
      </c>
      <c r="E80" t="str">
        <f>_xlfn.XLOOKUP(A80,Sheet1!A$2:A$800,Sheet1!G$2:G$800, "")</f>
        <v>Gas</v>
      </c>
      <c r="F80" t="s">
        <v>85</v>
      </c>
    </row>
    <row r="81" spans="1:6" x14ac:dyDescent="0.25">
      <c r="A81" s="1" t="s">
        <v>1629</v>
      </c>
      <c r="B81" t="s">
        <v>1181</v>
      </c>
      <c r="C81" t="s">
        <v>1630</v>
      </c>
      <c r="D81">
        <v>105.11</v>
      </c>
      <c r="E81" t="str">
        <f>_xlfn.XLOOKUP(A81,Sheet1!A$2:A$800,Sheet1!G$2:G$800, "")</f>
        <v>Gas</v>
      </c>
      <c r="F81" t="s">
        <v>1632</v>
      </c>
    </row>
    <row r="82" spans="1:6" x14ac:dyDescent="0.25">
      <c r="A82" s="1" t="s">
        <v>1179</v>
      </c>
      <c r="B82" t="s">
        <v>1181</v>
      </c>
      <c r="C82" t="s">
        <v>1180</v>
      </c>
      <c r="D82">
        <v>105.11</v>
      </c>
      <c r="E82" t="str">
        <f>_xlfn.XLOOKUP(A82,Sheet1!A$2:A$800,Sheet1!G$2:G$800, "")</f>
        <v>Gas</v>
      </c>
      <c r="F82" t="s">
        <v>1183</v>
      </c>
    </row>
    <row r="83" spans="1:6" x14ac:dyDescent="0.25">
      <c r="A83" s="1" t="s">
        <v>1812</v>
      </c>
      <c r="B83" t="s">
        <v>1814</v>
      </c>
      <c r="C83" t="s">
        <v>1813</v>
      </c>
      <c r="D83">
        <v>137.11000000000001</v>
      </c>
      <c r="E83" t="str">
        <f>_xlfn.XLOOKUP(A83,Sheet1!A$2:A$800,Sheet1!G$2:G$800, "")</f>
        <v>Gas</v>
      </c>
      <c r="F83" t="s">
        <v>1815</v>
      </c>
    </row>
    <row r="84" spans="1:6" x14ac:dyDescent="0.25">
      <c r="A84" s="1" t="s">
        <v>13</v>
      </c>
      <c r="B84" t="s">
        <v>15</v>
      </c>
      <c r="C84" t="s">
        <v>14</v>
      </c>
      <c r="D84">
        <v>75.099999999999994</v>
      </c>
      <c r="E84" t="str">
        <f>_xlfn.XLOOKUP(A84,Sheet1!A$2:A$800,Sheet1!G$2:G$800, "")</f>
        <v>Gas</v>
      </c>
      <c r="F84" t="s">
        <v>17</v>
      </c>
    </row>
    <row r="85" spans="1:6" x14ac:dyDescent="0.25">
      <c r="A85" s="1" t="s">
        <v>94</v>
      </c>
      <c r="B85" t="s">
        <v>95</v>
      </c>
      <c r="C85" t="s">
        <v>94</v>
      </c>
      <c r="D85">
        <v>75.099999999999994</v>
      </c>
      <c r="E85" t="str">
        <f>_xlfn.XLOOKUP(A85,Sheet1!A$2:A$800,Sheet1!G$2:G$800, "")</f>
        <v>Gas</v>
      </c>
      <c r="F85" t="s">
        <v>97</v>
      </c>
    </row>
    <row r="86" spans="1:6" x14ac:dyDescent="0.25">
      <c r="A86" s="1" t="s">
        <v>1764</v>
      </c>
      <c r="B86" t="s">
        <v>1766</v>
      </c>
      <c r="C86" t="s">
        <v>1765</v>
      </c>
      <c r="D86">
        <v>91.1</v>
      </c>
      <c r="E86" t="str">
        <f>_xlfn.XLOOKUP(A86,Sheet1!A$2:A$800,Sheet1!G$2:G$800, "")</f>
        <v>Gas</v>
      </c>
      <c r="F86" t="s">
        <v>1767</v>
      </c>
    </row>
    <row r="87" spans="1:6" x14ac:dyDescent="0.25">
      <c r="A87" s="1" t="s">
        <v>208</v>
      </c>
      <c r="B87" t="s">
        <v>208</v>
      </c>
      <c r="C87" t="s">
        <v>209</v>
      </c>
      <c r="D87">
        <v>44.11</v>
      </c>
      <c r="E87" t="str">
        <f>_xlfn.XLOOKUP(A87,Sheet1!A$2:A$800,Sheet1!G$2:G$800, "")</f>
        <v>Gas</v>
      </c>
      <c r="F87" t="s">
        <v>211</v>
      </c>
    </row>
    <row r="88" spans="1:6" x14ac:dyDescent="0.25">
      <c r="A88" s="4" t="s">
        <v>1905</v>
      </c>
      <c r="B88" s="7" t="s">
        <v>1907</v>
      </c>
      <c r="C88" s="7" t="s">
        <v>1906</v>
      </c>
      <c r="D88" s="7">
        <v>60.11</v>
      </c>
      <c r="E88" t="str">
        <f>_xlfn.XLOOKUP(A88,Sheet1!A$2:A$800,Sheet1!G$2:G$800, "")</f>
        <v>Gas</v>
      </c>
      <c r="F88" s="7" t="s">
        <v>1909</v>
      </c>
    </row>
    <row r="89" spans="1:6" x14ac:dyDescent="0.25">
      <c r="A89" s="1" t="s">
        <v>1852</v>
      </c>
      <c r="B89" t="s">
        <v>1854</v>
      </c>
      <c r="C89" t="s">
        <v>1853</v>
      </c>
      <c r="D89">
        <v>76.11</v>
      </c>
      <c r="E89" t="str">
        <f>_xlfn.XLOOKUP(A89,Sheet1!A$2:A$800,Sheet1!G$2:G$800, "")</f>
        <v>Gas</v>
      </c>
      <c r="F89" t="s">
        <v>1856</v>
      </c>
    </row>
    <row r="90" spans="1:6" x14ac:dyDescent="0.25">
      <c r="A90" s="1" t="s">
        <v>1858</v>
      </c>
      <c r="B90" t="s">
        <v>1860</v>
      </c>
      <c r="C90" t="s">
        <v>1859</v>
      </c>
      <c r="D90">
        <v>76.11</v>
      </c>
      <c r="E90" t="str">
        <f>_xlfn.XLOOKUP(A90,Sheet1!A$2:A$800,Sheet1!G$2:G$800, "")</f>
        <v>Gas</v>
      </c>
      <c r="F90" t="s">
        <v>1862</v>
      </c>
    </row>
    <row r="91" spans="1:6" x14ac:dyDescent="0.25">
      <c r="A91" s="1" t="s">
        <v>1785</v>
      </c>
      <c r="B91" t="s">
        <v>1787</v>
      </c>
      <c r="C91" t="s">
        <v>1786</v>
      </c>
      <c r="D91">
        <v>92.11</v>
      </c>
      <c r="E91" t="str">
        <f>_xlfn.XLOOKUP(A91,Sheet1!A$2:A$800,Sheet1!G$2:G$800, "")</f>
        <v>Gas</v>
      </c>
      <c r="F91" t="s">
        <v>1789</v>
      </c>
    </row>
    <row r="92" spans="1:6" x14ac:dyDescent="0.25">
      <c r="A92" s="31" t="s">
        <v>42</v>
      </c>
      <c r="B92" s="32"/>
      <c r="C92" s="32" t="s">
        <v>2046</v>
      </c>
      <c r="D92" s="32">
        <v>58.12</v>
      </c>
      <c r="E92" s="32" t="str">
        <f>_xlfn.XLOOKUP(A92,Sheet1!A$2:A$800,Sheet1!G$2:G$800, "")</f>
        <v>Gas</v>
      </c>
      <c r="F92" s="32" t="s">
        <v>45</v>
      </c>
    </row>
    <row r="93" spans="1:6" x14ac:dyDescent="0.25">
      <c r="A93" s="4" t="s">
        <v>1847</v>
      </c>
      <c r="B93" s="7" t="s">
        <v>1849</v>
      </c>
      <c r="C93" s="7" t="s">
        <v>1848</v>
      </c>
      <c r="D93" s="7">
        <v>90.14</v>
      </c>
      <c r="E93" t="str">
        <f>_xlfn.XLOOKUP(A93,Sheet1!A$2:A$800,Sheet1!G$2:G$800, "")</f>
        <v>Gas</v>
      </c>
      <c r="F93" s="7" t="s">
        <v>1850</v>
      </c>
    </row>
    <row r="94" spans="1:6" x14ac:dyDescent="0.25">
      <c r="A94" s="1" t="s">
        <v>2121</v>
      </c>
      <c r="B94" s="15" t="s">
        <v>2122</v>
      </c>
      <c r="C94" s="15" t="s">
        <v>2123</v>
      </c>
      <c r="D94" s="15">
        <v>68.069999999999993</v>
      </c>
      <c r="E94" t="s">
        <v>18</v>
      </c>
      <c r="F94" s="15" t="s">
        <v>2313</v>
      </c>
    </row>
    <row r="95" spans="1:6" x14ac:dyDescent="0.25">
      <c r="A95" s="31" t="s">
        <v>50</v>
      </c>
      <c r="B95" s="35" t="s">
        <v>52</v>
      </c>
      <c r="C95" s="35" t="s">
        <v>51</v>
      </c>
      <c r="D95" s="35">
        <v>68.08</v>
      </c>
      <c r="E95" s="35" t="str">
        <f>_xlfn.XLOOKUP(A95,Sheet1!A$2:A$800,Sheet1!G$2:G$800, "")</f>
        <v>Gas</v>
      </c>
      <c r="F95" s="35" t="s">
        <v>53</v>
      </c>
    </row>
    <row r="96" spans="1:6" x14ac:dyDescent="0.25">
      <c r="A96" s="1" t="s">
        <v>2095</v>
      </c>
      <c r="B96" s="15" t="s">
        <v>52</v>
      </c>
      <c r="C96" s="15" t="s">
        <v>2096</v>
      </c>
      <c r="D96" s="15">
        <v>84.07</v>
      </c>
      <c r="E96" t="s">
        <v>18</v>
      </c>
      <c r="F96" s="15" t="s">
        <v>2310</v>
      </c>
    </row>
    <row r="97" spans="1:20" x14ac:dyDescent="0.25">
      <c r="A97" s="1" t="s">
        <v>1474</v>
      </c>
      <c r="B97" t="s">
        <v>1178</v>
      </c>
      <c r="C97" t="s">
        <v>2232</v>
      </c>
      <c r="D97">
        <v>147.1</v>
      </c>
      <c r="E97" t="str">
        <f>_xlfn.XLOOKUP(A97,Sheet1!A$2:A$800,Sheet1!G$2:G$800, "")</f>
        <v>Gas</v>
      </c>
      <c r="F97" t="s">
        <v>1477</v>
      </c>
    </row>
    <row r="98" spans="1:20" x14ac:dyDescent="0.25">
      <c r="A98" s="26" t="s">
        <v>1162</v>
      </c>
      <c r="B98" s="21"/>
      <c r="C98" s="21" t="s">
        <v>1163</v>
      </c>
      <c r="D98" s="21">
        <v>14.01</v>
      </c>
      <c r="E98" s="21" t="str">
        <f>_xlfn.XLOOKUP(A98,Sheet1!A$2:A$800,Sheet1!G$2:G$800, "")</f>
        <v>Aerosol</v>
      </c>
      <c r="F98" s="21" t="s">
        <v>1165</v>
      </c>
    </row>
    <row r="99" spans="1:20" x14ac:dyDescent="0.25">
      <c r="A99" s="1" t="s">
        <v>1538</v>
      </c>
      <c r="B99" t="s">
        <v>2238</v>
      </c>
      <c r="C99" t="s">
        <v>2239</v>
      </c>
      <c r="D99">
        <v>149.12</v>
      </c>
      <c r="E99" t="str">
        <f>_xlfn.XLOOKUP(A99,Sheet1!A$2:A$800,Sheet1!G$2:G$800, "")</f>
        <v>Gas</v>
      </c>
      <c r="F99" t="s">
        <v>1541</v>
      </c>
    </row>
    <row r="100" spans="1:20" x14ac:dyDescent="0.25">
      <c r="A100" s="1" t="s">
        <v>1305</v>
      </c>
      <c r="B100" t="s">
        <v>1336</v>
      </c>
      <c r="C100" t="s">
        <v>2212</v>
      </c>
      <c r="D100">
        <v>101.09</v>
      </c>
      <c r="E100" t="str">
        <f>_xlfn.XLOOKUP(A100,Sheet1!A$2:A$800,Sheet1!G$2:G$800, "")</f>
        <v>Gas</v>
      </c>
      <c r="F100" t="s">
        <v>1309</v>
      </c>
    </row>
    <row r="101" spans="1:20" x14ac:dyDescent="0.25">
      <c r="A101" s="1" t="s">
        <v>2102</v>
      </c>
      <c r="B101" s="15" t="s">
        <v>2102</v>
      </c>
      <c r="C101" s="15" t="s">
        <v>2103</v>
      </c>
      <c r="D101" s="15">
        <v>54.09</v>
      </c>
      <c r="E101" t="s">
        <v>18</v>
      </c>
      <c r="F101" s="15" t="s">
        <v>2311</v>
      </c>
    </row>
    <row r="102" spans="1:20" s="15" customFormat="1" x14ac:dyDescent="0.25">
      <c r="A102" s="1" t="s">
        <v>1321</v>
      </c>
      <c r="B102" t="s">
        <v>1323</v>
      </c>
      <c r="C102" t="s">
        <v>2214</v>
      </c>
      <c r="D102">
        <v>180.1</v>
      </c>
      <c r="E102" t="str">
        <f>_xlfn.XLOOKUP(A102,Sheet1!A$2:A$800,Sheet1!G$2:G$800, "")</f>
        <v>Gas</v>
      </c>
      <c r="F102" t="s">
        <v>1325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 spans="1:20" x14ac:dyDescent="0.25">
      <c r="A103" s="1" t="s">
        <v>1506</v>
      </c>
      <c r="B103" t="s">
        <v>2234</v>
      </c>
      <c r="C103" t="s">
        <v>1507</v>
      </c>
      <c r="D103">
        <v>70.09</v>
      </c>
      <c r="E103" t="str">
        <f>_xlfn.XLOOKUP(A103,Sheet1!A$2:A$800,Sheet1!G$2:G$800, "")</f>
        <v>Gas</v>
      </c>
      <c r="F103" t="s">
        <v>1510</v>
      </c>
    </row>
    <row r="104" spans="1:20" x14ac:dyDescent="0.25">
      <c r="A104" s="1" t="s">
        <v>1300</v>
      </c>
      <c r="B104" t="s">
        <v>2211</v>
      </c>
      <c r="C104" t="s">
        <v>1301</v>
      </c>
      <c r="D104">
        <v>70.099999999999994</v>
      </c>
      <c r="E104" t="str">
        <f>_xlfn.XLOOKUP(A104,Sheet1!A$2:A$800,Sheet1!G$2:G$800, "")</f>
        <v>Gas</v>
      </c>
      <c r="F104" t="s">
        <v>1304</v>
      </c>
    </row>
    <row r="105" spans="1:20" x14ac:dyDescent="0.25">
      <c r="A105" s="1" t="s">
        <v>1311</v>
      </c>
      <c r="B105" t="s">
        <v>1339</v>
      </c>
      <c r="C105" t="s">
        <v>2213</v>
      </c>
      <c r="D105">
        <v>102.1</v>
      </c>
      <c r="E105" t="str">
        <f>_xlfn.XLOOKUP(A105,Sheet1!A$2:A$800,Sheet1!G$2:G$800, "")</f>
        <v>Gas</v>
      </c>
      <c r="F105" t="s">
        <v>1314</v>
      </c>
    </row>
    <row r="106" spans="1:20" x14ac:dyDescent="0.25">
      <c r="A106" s="4" t="s">
        <v>1372</v>
      </c>
      <c r="B106" s="7" t="s">
        <v>1328</v>
      </c>
      <c r="C106" s="7" t="s">
        <v>2219</v>
      </c>
      <c r="D106" s="7">
        <v>86.1</v>
      </c>
      <c r="E106" t="str">
        <f>_xlfn.XLOOKUP(A106,Sheet1!A$2:A$800,Sheet1!G$2:G$800, "")</f>
        <v>Gas</v>
      </c>
      <c r="F106" s="7" t="s">
        <v>1374</v>
      </c>
    </row>
    <row r="107" spans="1:20" x14ac:dyDescent="0.25">
      <c r="A107" s="26" t="s">
        <v>1963</v>
      </c>
      <c r="B107" s="21" t="s">
        <v>1035</v>
      </c>
      <c r="C107" s="21" t="s">
        <v>1964</v>
      </c>
      <c r="D107" s="21">
        <v>118.15</v>
      </c>
      <c r="E107" s="21" t="str">
        <f>_xlfn.XLOOKUP(A107,Sheet1!A$2:A$800,Sheet1!G$2:G$800, "")</f>
        <v>Aerosol</v>
      </c>
      <c r="F107" s="21" t="s">
        <v>1966</v>
      </c>
    </row>
    <row r="108" spans="1:20" x14ac:dyDescent="0.25">
      <c r="A108" s="31" t="s">
        <v>670</v>
      </c>
      <c r="B108" s="32" t="s">
        <v>672</v>
      </c>
      <c r="C108" s="32" t="s">
        <v>2135</v>
      </c>
      <c r="D108" s="32">
        <v>102.1</v>
      </c>
      <c r="E108" s="32" t="str">
        <f>_xlfn.XLOOKUP(A108,Sheet1!A$2:A$800,Sheet1!G$2:G$800, "")</f>
        <v>Gas</v>
      </c>
      <c r="F108" s="32" t="s">
        <v>2136</v>
      </c>
    </row>
    <row r="109" spans="1:20" x14ac:dyDescent="0.25">
      <c r="A109" s="31" t="s">
        <v>1518</v>
      </c>
      <c r="B109" s="32" t="s">
        <v>672</v>
      </c>
      <c r="C109" s="32" t="s">
        <v>2236</v>
      </c>
      <c r="D109" s="32">
        <v>102.1</v>
      </c>
      <c r="E109" s="32" t="str">
        <f>_xlfn.XLOOKUP(A109,Sheet1!A$2:A$800,Sheet1!G$2:G$800, "")</f>
        <v>Gas</v>
      </c>
      <c r="F109" s="32" t="s">
        <v>2136</v>
      </c>
    </row>
    <row r="110" spans="1:20" x14ac:dyDescent="0.25">
      <c r="A110" s="31" t="s">
        <v>1524</v>
      </c>
      <c r="B110" s="32" t="s">
        <v>672</v>
      </c>
      <c r="C110" s="32" t="s">
        <v>2236</v>
      </c>
      <c r="D110" s="32">
        <v>102.1</v>
      </c>
      <c r="E110" s="32" t="str">
        <f>_xlfn.XLOOKUP(A110,Sheet1!A$2:A$800,Sheet1!G$2:G$800, "")</f>
        <v>Gas</v>
      </c>
      <c r="F110" s="32" t="s">
        <v>2136</v>
      </c>
    </row>
    <row r="111" spans="1:20" x14ac:dyDescent="0.25">
      <c r="A111" s="1" t="s">
        <v>1553</v>
      </c>
      <c r="B111" t="s">
        <v>1555</v>
      </c>
      <c r="C111" t="s">
        <v>1554</v>
      </c>
      <c r="D111">
        <v>118.1</v>
      </c>
      <c r="E111" t="str">
        <f>_xlfn.XLOOKUP(A111,Sheet1!A$2:A$800,Sheet1!G$2:G$800, "")</f>
        <v>Gas</v>
      </c>
      <c r="F111" t="s">
        <v>1557</v>
      </c>
    </row>
    <row r="112" spans="1:20" s="15" customFormat="1" x14ac:dyDescent="0.25">
      <c r="A112" s="1" t="s">
        <v>1378</v>
      </c>
      <c r="B112" t="s">
        <v>1320</v>
      </c>
      <c r="C112" t="s">
        <v>1319</v>
      </c>
      <c r="D112">
        <v>149.11000000000001</v>
      </c>
      <c r="E112" t="str">
        <f>_xlfn.XLOOKUP(A112,Sheet1!A$2:A$800,Sheet1!G$2:G$800, "")</f>
        <v>Gas</v>
      </c>
      <c r="F112" t="s">
        <v>1381</v>
      </c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 spans="1:20" s="9" customFormat="1" x14ac:dyDescent="0.25">
      <c r="A113" s="1" t="s">
        <v>1384</v>
      </c>
      <c r="B113" t="s">
        <v>2220</v>
      </c>
      <c r="C113" t="s">
        <v>1319</v>
      </c>
      <c r="D113">
        <v>149.11000000000001</v>
      </c>
      <c r="E113" t="str">
        <f>_xlfn.XLOOKUP(A113,Sheet1!A$2:A$800,Sheet1!G$2:G$800, "")</f>
        <v>Gas</v>
      </c>
      <c r="F113" t="s">
        <v>1387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1:20" x14ac:dyDescent="0.25">
      <c r="A114" s="1" t="s">
        <v>216</v>
      </c>
      <c r="B114" t="s">
        <v>214</v>
      </c>
      <c r="C114" t="s">
        <v>2104</v>
      </c>
      <c r="D114">
        <v>103.11</v>
      </c>
      <c r="E114" t="str">
        <f>_xlfn.XLOOKUP(A114,Sheet1!A$2:A$800,Sheet1!G$2:G$800, "")</f>
        <v>Gas</v>
      </c>
      <c r="F114" t="s">
        <v>218</v>
      </c>
    </row>
    <row r="115" spans="1:20" s="15" customFormat="1" x14ac:dyDescent="0.25">
      <c r="A115" s="1" t="s">
        <v>212</v>
      </c>
      <c r="B115" t="s">
        <v>214</v>
      </c>
      <c r="C115" t="s">
        <v>2104</v>
      </c>
      <c r="D115">
        <v>103.11</v>
      </c>
      <c r="E115" t="str">
        <f>_xlfn.XLOOKUP(A115,Sheet1!A$2:A$800,Sheet1!G$2:G$800, "")</f>
        <v>Gas</v>
      </c>
      <c r="F115" t="s">
        <v>215</v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 spans="1:20" x14ac:dyDescent="0.25">
      <c r="A116" s="1" t="s">
        <v>1545</v>
      </c>
      <c r="B116" t="s">
        <v>1400</v>
      </c>
      <c r="C116" t="s">
        <v>2240</v>
      </c>
      <c r="D116">
        <v>119.11</v>
      </c>
      <c r="E116" t="str">
        <f>_xlfn.XLOOKUP(A116,Sheet1!A$2:A$800,Sheet1!G$2:G$800, "")</f>
        <v>Gas</v>
      </c>
      <c r="F116" t="s">
        <v>1547</v>
      </c>
    </row>
    <row r="117" spans="1:20" x14ac:dyDescent="0.25">
      <c r="A117" s="1" t="s">
        <v>1398</v>
      </c>
      <c r="B117" t="s">
        <v>1400</v>
      </c>
      <c r="C117" t="s">
        <v>2222</v>
      </c>
      <c r="D117">
        <v>119.11</v>
      </c>
      <c r="E117" t="str">
        <f>_xlfn.XLOOKUP(A117,Sheet1!A$2:A$800,Sheet1!G$2:G$800, "")</f>
        <v>Gas</v>
      </c>
      <c r="F117" t="s">
        <v>1401</v>
      </c>
    </row>
    <row r="118" spans="1:20" x14ac:dyDescent="0.25">
      <c r="A118" s="1" t="s">
        <v>1409</v>
      </c>
      <c r="B118" t="s">
        <v>2223</v>
      </c>
      <c r="C118" t="s">
        <v>1410</v>
      </c>
      <c r="D118">
        <v>72.11</v>
      </c>
      <c r="E118" t="str">
        <f>_xlfn.XLOOKUP(A118,Sheet1!A$2:A$800,Sheet1!G$2:G$800, "")</f>
        <v>Gas</v>
      </c>
      <c r="F118" t="s">
        <v>1413</v>
      </c>
    </row>
    <row r="119" spans="1:20" x14ac:dyDescent="0.25">
      <c r="A119" s="1" t="s">
        <v>1511</v>
      </c>
      <c r="B119" t="s">
        <v>2235</v>
      </c>
      <c r="C119" t="s">
        <v>1512</v>
      </c>
      <c r="D119">
        <v>105.13</v>
      </c>
      <c r="E119" t="str">
        <f>_xlfn.XLOOKUP(A119,Sheet1!A$2:A$800,Sheet1!G$2:G$800, "")</f>
        <v>Gas</v>
      </c>
      <c r="F119" t="s">
        <v>1515</v>
      </c>
    </row>
    <row r="120" spans="1:20" x14ac:dyDescent="0.25">
      <c r="A120" s="1" t="s">
        <v>1366</v>
      </c>
      <c r="B120" t="s">
        <v>1355</v>
      </c>
      <c r="C120" t="s">
        <v>2218</v>
      </c>
      <c r="D120">
        <v>104.12</v>
      </c>
      <c r="E120" t="str">
        <f>_xlfn.XLOOKUP(A120,Sheet1!A$2:A$800,Sheet1!G$2:G$800, "")</f>
        <v>Gas</v>
      </c>
      <c r="F120" t="s">
        <v>1369</v>
      </c>
    </row>
    <row r="121" spans="1:20" x14ac:dyDescent="0.25">
      <c r="A121" s="1" t="s">
        <v>1531</v>
      </c>
      <c r="B121" t="s">
        <v>1533</v>
      </c>
      <c r="C121" t="s">
        <v>2237</v>
      </c>
      <c r="D121">
        <v>120.12</v>
      </c>
      <c r="E121" t="str">
        <f>_xlfn.XLOOKUP(A121,Sheet1!A$2:A$800,Sheet1!G$2:G$800, "")</f>
        <v>Gas</v>
      </c>
      <c r="F121" t="s">
        <v>1534</v>
      </c>
    </row>
    <row r="122" spans="1:20" x14ac:dyDescent="0.25">
      <c r="A122" s="1" t="s">
        <v>1391</v>
      </c>
      <c r="B122" t="s">
        <v>1493</v>
      </c>
      <c r="C122" t="s">
        <v>2221</v>
      </c>
      <c r="D122">
        <v>120.12</v>
      </c>
      <c r="E122" t="str">
        <f>_xlfn.XLOOKUP(A122,Sheet1!A$2:A$800,Sheet1!G$2:G$800, "")</f>
        <v>Gas</v>
      </c>
      <c r="F122" t="s">
        <v>1394</v>
      </c>
    </row>
    <row r="123" spans="1:20" s="15" customFormat="1" x14ac:dyDescent="0.25">
      <c r="A123" s="4" t="s">
        <v>1838</v>
      </c>
      <c r="B123" s="7" t="s">
        <v>1840</v>
      </c>
      <c r="C123" s="7" t="s">
        <v>1839</v>
      </c>
      <c r="D123" s="7">
        <v>119.1</v>
      </c>
      <c r="E123" t="str">
        <f>_xlfn.XLOOKUP(A123,Sheet1!A$2:A$800,Sheet1!G$2:G$800, "")</f>
        <v>Gas</v>
      </c>
      <c r="F123" s="7" t="s">
        <v>1841</v>
      </c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 spans="1:20" x14ac:dyDescent="0.25">
      <c r="A124" s="1" t="s">
        <v>1022</v>
      </c>
      <c r="B124" t="s">
        <v>2156</v>
      </c>
      <c r="C124" t="s">
        <v>2157</v>
      </c>
      <c r="D124">
        <v>192.15</v>
      </c>
      <c r="E124" t="str">
        <f>_xlfn.XLOOKUP(A124,Sheet1!A$2:A$800,Sheet1!G$2:G$800, "")</f>
        <v>Gas</v>
      </c>
      <c r="F124" t="s">
        <v>1025</v>
      </c>
    </row>
    <row r="125" spans="1:20" x14ac:dyDescent="0.25">
      <c r="A125" s="1" t="s">
        <v>1010</v>
      </c>
      <c r="B125" t="s">
        <v>1012</v>
      </c>
      <c r="C125" t="s">
        <v>2154</v>
      </c>
      <c r="D125">
        <v>196.16</v>
      </c>
      <c r="E125" t="str">
        <f>_xlfn.XLOOKUP(A125,Sheet1!A$2:A$800,Sheet1!G$2:G$800, "")</f>
        <v>Gas</v>
      </c>
      <c r="F125" t="s">
        <v>1013</v>
      </c>
    </row>
    <row r="126" spans="1:20" x14ac:dyDescent="0.25">
      <c r="A126" s="1" t="s">
        <v>1015</v>
      </c>
      <c r="B126" t="s">
        <v>1012</v>
      </c>
      <c r="C126" t="s">
        <v>2154</v>
      </c>
      <c r="D126">
        <v>196.16</v>
      </c>
      <c r="E126" t="str">
        <f>_xlfn.XLOOKUP(A126,Sheet1!A$2:A$800,Sheet1!G$2:G$800, "")</f>
        <v>Gas</v>
      </c>
      <c r="F126" t="s">
        <v>1017</v>
      </c>
    </row>
    <row r="127" spans="1:20" x14ac:dyDescent="0.25">
      <c r="A127" s="1" t="s">
        <v>1226</v>
      </c>
      <c r="B127" t="s">
        <v>1012</v>
      </c>
      <c r="C127" t="s">
        <v>2178</v>
      </c>
      <c r="D127">
        <v>196.16</v>
      </c>
      <c r="E127" t="str">
        <f>_xlfn.XLOOKUP(A127,Sheet1!A$2:A$800,Sheet1!G$2:G$800, "")</f>
        <v>Gas</v>
      </c>
      <c r="F127" t="s">
        <v>1228</v>
      </c>
    </row>
    <row r="128" spans="1:20" x14ac:dyDescent="0.25">
      <c r="A128" s="1" t="s">
        <v>1230</v>
      </c>
      <c r="B128" t="s">
        <v>1012</v>
      </c>
      <c r="C128" t="s">
        <v>2179</v>
      </c>
      <c r="D128">
        <v>196.16</v>
      </c>
      <c r="E128" t="str">
        <f>_xlfn.XLOOKUP(A128,Sheet1!A$2:A$800,Sheet1!G$2:G$800, "")</f>
        <v>Gas</v>
      </c>
      <c r="F128" t="s">
        <v>1232</v>
      </c>
    </row>
    <row r="129" spans="1:20" x14ac:dyDescent="0.25">
      <c r="A129" s="1" t="s">
        <v>1005</v>
      </c>
      <c r="B129" t="s">
        <v>1012</v>
      </c>
      <c r="C129" t="s">
        <v>2153</v>
      </c>
      <c r="D129">
        <v>196.16</v>
      </c>
      <c r="E129" t="str">
        <f>_xlfn.XLOOKUP(A129,Sheet1!A$2:A$800,Sheet1!G$2:G$800, "")</f>
        <v>Gas</v>
      </c>
      <c r="F129" t="s">
        <v>1008</v>
      </c>
    </row>
    <row r="130" spans="1:20" x14ac:dyDescent="0.25">
      <c r="A130" s="1" t="s">
        <v>1100</v>
      </c>
      <c r="B130" t="s">
        <v>1102</v>
      </c>
      <c r="C130" t="s">
        <v>2153</v>
      </c>
      <c r="D130">
        <v>212.16</v>
      </c>
      <c r="E130" t="str">
        <f>_xlfn.XLOOKUP(A130,Sheet1!A$2:A$800,Sheet1!G$2:G$800, "")</f>
        <v>Gas</v>
      </c>
      <c r="F130" t="s">
        <v>1103</v>
      </c>
    </row>
    <row r="131" spans="1:20" x14ac:dyDescent="0.25">
      <c r="A131" s="1" t="s">
        <v>1104</v>
      </c>
      <c r="B131" t="s">
        <v>1102</v>
      </c>
      <c r="C131" t="s">
        <v>2154</v>
      </c>
      <c r="D131">
        <v>212.16</v>
      </c>
      <c r="E131" t="str">
        <f>_xlfn.XLOOKUP(A131,Sheet1!A$2:A$800,Sheet1!G$2:G$800, "")</f>
        <v>Gas</v>
      </c>
      <c r="F131" t="s">
        <v>1106</v>
      </c>
    </row>
    <row r="132" spans="1:20" x14ac:dyDescent="0.25">
      <c r="A132" s="1" t="s">
        <v>1883</v>
      </c>
      <c r="B132" t="s">
        <v>1035</v>
      </c>
      <c r="C132" t="s">
        <v>2280</v>
      </c>
      <c r="D132">
        <v>118.15</v>
      </c>
      <c r="E132" t="str">
        <f>_xlfn.XLOOKUP(A132,Sheet1!A$2:A$800,Sheet1!G$2:G$800, "")</f>
        <v>Gas</v>
      </c>
      <c r="F132" t="s">
        <v>1886</v>
      </c>
    </row>
    <row r="133" spans="1:20" x14ac:dyDescent="0.25">
      <c r="A133" s="1" t="s">
        <v>1889</v>
      </c>
      <c r="B133" t="s">
        <v>1035</v>
      </c>
      <c r="C133" t="s">
        <v>2281</v>
      </c>
      <c r="D133">
        <v>118.15</v>
      </c>
      <c r="E133" t="str">
        <f>_xlfn.XLOOKUP(A133,Sheet1!A$2:A$800,Sheet1!G$2:G$800, "")</f>
        <v>Gas</v>
      </c>
      <c r="F133" t="s">
        <v>1892</v>
      </c>
    </row>
    <row r="134" spans="1:20" s="11" customFormat="1" x14ac:dyDescent="0.25">
      <c r="A134" s="1" t="s">
        <v>1900</v>
      </c>
      <c r="B134" t="s">
        <v>1035</v>
      </c>
      <c r="C134" t="s">
        <v>2283</v>
      </c>
      <c r="D134">
        <v>118.15</v>
      </c>
      <c r="E134" t="str">
        <f>_xlfn.XLOOKUP(A134,Sheet1!A$2:A$800,Sheet1!G$2:G$800, "")</f>
        <v>Gas</v>
      </c>
      <c r="F134" t="s">
        <v>1902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spans="1:20" s="15" customFormat="1" x14ac:dyDescent="0.25">
      <c r="A135" s="1" t="s">
        <v>1051</v>
      </c>
      <c r="B135" t="s">
        <v>2159</v>
      </c>
      <c r="C135" t="s">
        <v>2162</v>
      </c>
      <c r="D135">
        <v>106.14</v>
      </c>
      <c r="E135" t="str">
        <f>_xlfn.XLOOKUP(A135,Sheet1!A$2:A$800,Sheet1!G$2:G$800, "")</f>
        <v>Gas</v>
      </c>
      <c r="F135" t="s">
        <v>1054</v>
      </c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 spans="1:20" x14ac:dyDescent="0.25">
      <c r="A136" s="1" t="s">
        <v>1039</v>
      </c>
      <c r="B136" t="s">
        <v>2159</v>
      </c>
      <c r="C136" t="s">
        <v>2160</v>
      </c>
      <c r="D136">
        <v>106.14</v>
      </c>
      <c r="E136" t="str">
        <f>_xlfn.XLOOKUP(A136,Sheet1!A$2:A$800,Sheet1!G$2:G$800, "")</f>
        <v>Gas</v>
      </c>
      <c r="F136" t="s">
        <v>1036</v>
      </c>
    </row>
    <row r="137" spans="1:20" x14ac:dyDescent="0.25">
      <c r="A137" s="1" t="s">
        <v>1062</v>
      </c>
      <c r="B137" t="s">
        <v>2159</v>
      </c>
      <c r="C137" t="s">
        <v>2164</v>
      </c>
      <c r="D137">
        <v>106.14</v>
      </c>
      <c r="E137" t="str">
        <f>_xlfn.XLOOKUP(A137,Sheet1!A$2:A$800,Sheet1!G$2:G$800, "")</f>
        <v>Gas</v>
      </c>
      <c r="F137" t="s">
        <v>1064</v>
      </c>
    </row>
    <row r="138" spans="1:20" x14ac:dyDescent="0.25">
      <c r="A138" s="1" t="s">
        <v>1895</v>
      </c>
      <c r="B138" t="s">
        <v>1035</v>
      </c>
      <c r="C138" t="s">
        <v>2282</v>
      </c>
      <c r="D138">
        <v>118.15</v>
      </c>
      <c r="E138" t="str">
        <f>_xlfn.XLOOKUP(A138,Sheet1!A$2:A$800,Sheet1!G$2:G$800, "")</f>
        <v>Gas</v>
      </c>
      <c r="F138" t="s">
        <v>1897</v>
      </c>
    </row>
    <row r="139" spans="1:20" x14ac:dyDescent="0.25">
      <c r="A139" s="18" t="s">
        <v>982</v>
      </c>
      <c r="B139" s="19" t="s">
        <v>984</v>
      </c>
      <c r="C139" s="19" t="s">
        <v>2148</v>
      </c>
      <c r="D139" s="19">
        <v>150.15</v>
      </c>
      <c r="E139" t="str">
        <f>_xlfn.XLOOKUP(A139,Sheet1!A$2:A$800,Sheet1!G$2:G$800, "")</f>
        <v>Gas</v>
      </c>
      <c r="F139" s="19" t="s">
        <v>2149</v>
      </c>
    </row>
    <row r="140" spans="1:20" x14ac:dyDescent="0.25">
      <c r="A140" s="18" t="s">
        <v>1019</v>
      </c>
      <c r="B140" s="19" t="s">
        <v>984</v>
      </c>
      <c r="C140" s="19" t="s">
        <v>2155</v>
      </c>
      <c r="D140" s="19">
        <v>150.15</v>
      </c>
      <c r="E140" t="str">
        <f>_xlfn.XLOOKUP(A140,Sheet1!A$2:A$800,Sheet1!G$2:G$800, "")</f>
        <v>Gas</v>
      </c>
      <c r="F140" s="19" t="s">
        <v>2149</v>
      </c>
    </row>
    <row r="141" spans="1:20" x14ac:dyDescent="0.25">
      <c r="A141" s="1" t="s">
        <v>1240</v>
      </c>
      <c r="B141" t="s">
        <v>2182</v>
      </c>
      <c r="C141" t="s">
        <v>2183</v>
      </c>
      <c r="D141">
        <v>197.17</v>
      </c>
      <c r="E141" t="str">
        <f>_xlfn.XLOOKUP(A141,Sheet1!A$2:A$800,Sheet1!G$2:G$800, "")</f>
        <v>Gas</v>
      </c>
      <c r="F141" t="s">
        <v>1243</v>
      </c>
    </row>
    <row r="142" spans="1:20" x14ac:dyDescent="0.25">
      <c r="A142" s="1" t="s">
        <v>1107</v>
      </c>
      <c r="B142" t="s">
        <v>1109</v>
      </c>
      <c r="C142" t="s">
        <v>2170</v>
      </c>
      <c r="D142">
        <v>167.16</v>
      </c>
      <c r="E142" t="str">
        <f>_xlfn.XLOOKUP(A142,Sheet1!A$2:A$800,Sheet1!G$2:G$800, "")</f>
        <v>Gas</v>
      </c>
      <c r="F142" t="s">
        <v>1110</v>
      </c>
    </row>
    <row r="143" spans="1:20" s="16" customFormat="1" x14ac:dyDescent="0.25">
      <c r="A143" s="1" t="s">
        <v>1114</v>
      </c>
      <c r="B143" t="s">
        <v>1109</v>
      </c>
      <c r="C143" t="s">
        <v>2170</v>
      </c>
      <c r="D143">
        <v>167.16</v>
      </c>
      <c r="E143" t="str">
        <f>_xlfn.XLOOKUP(A143,Sheet1!A$2:A$800,Sheet1!G$2:G$800, "")</f>
        <v>Gas</v>
      </c>
      <c r="F143" t="s">
        <v>1116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1:20" x14ac:dyDescent="0.25">
      <c r="A144" s="1" t="s">
        <v>1111</v>
      </c>
      <c r="B144" t="s">
        <v>1109</v>
      </c>
      <c r="C144" t="s">
        <v>2170</v>
      </c>
      <c r="D144">
        <v>167.16</v>
      </c>
      <c r="E144" t="str">
        <f>_xlfn.XLOOKUP(A144,Sheet1!A$2:A$800,Sheet1!G$2:G$800, "")</f>
        <v>Gas</v>
      </c>
      <c r="F144" t="s">
        <v>1113</v>
      </c>
    </row>
    <row r="145" spans="1:6" x14ac:dyDescent="0.25">
      <c r="A145" s="1" t="s">
        <v>1001</v>
      </c>
      <c r="B145" t="s">
        <v>1003</v>
      </c>
      <c r="C145" t="s">
        <v>2152</v>
      </c>
      <c r="D145">
        <v>168.17</v>
      </c>
      <c r="E145" t="str">
        <f>_xlfn.XLOOKUP(A145,Sheet1!A$2:A$800,Sheet1!G$2:G$800, "")</f>
        <v>Gas</v>
      </c>
      <c r="F145" t="s">
        <v>1004</v>
      </c>
    </row>
    <row r="146" spans="1:6" x14ac:dyDescent="0.25">
      <c r="A146" s="1" t="s">
        <v>975</v>
      </c>
      <c r="B146" t="s">
        <v>2146</v>
      </c>
      <c r="C146" t="s">
        <v>2147</v>
      </c>
      <c r="D146">
        <v>194.14</v>
      </c>
      <c r="E146" t="str">
        <f>_xlfn.XLOOKUP(A146,Sheet1!A$2:A$800,Sheet1!G$2:G$800, "")</f>
        <v>Gas</v>
      </c>
      <c r="F146" t="s">
        <v>978</v>
      </c>
    </row>
    <row r="147" spans="1:6" x14ac:dyDescent="0.25">
      <c r="A147" s="1" t="s">
        <v>991</v>
      </c>
      <c r="B147" t="s">
        <v>58</v>
      </c>
      <c r="C147" t="s">
        <v>2150</v>
      </c>
      <c r="D147">
        <v>98.11</v>
      </c>
      <c r="E147" t="str">
        <f>_xlfn.XLOOKUP(A147,Sheet1!A$2:A$800,Sheet1!G$2:G$800, "")</f>
        <v>Gas</v>
      </c>
      <c r="F147" t="s">
        <v>993</v>
      </c>
    </row>
    <row r="148" spans="1:6" x14ac:dyDescent="0.25">
      <c r="A148" s="31" t="s">
        <v>56</v>
      </c>
      <c r="B148" s="35" t="s">
        <v>58</v>
      </c>
      <c r="C148" s="35" t="s">
        <v>57</v>
      </c>
      <c r="D148" s="35">
        <v>98.1</v>
      </c>
      <c r="E148" s="35" t="str">
        <f>_xlfn.XLOOKUP(A148,Sheet1!A$2:A$800,Sheet1!G$2:G$800, "")</f>
        <v>Gas</v>
      </c>
      <c r="F148" s="35" t="s">
        <v>59</v>
      </c>
    </row>
    <row r="149" spans="1:6" x14ac:dyDescent="0.25">
      <c r="A149" s="1" t="s">
        <v>2067</v>
      </c>
      <c r="B149" t="s">
        <v>2068</v>
      </c>
      <c r="C149" t="s">
        <v>2069</v>
      </c>
      <c r="D149">
        <v>130.1</v>
      </c>
      <c r="E149" s="9" t="s">
        <v>18</v>
      </c>
      <c r="F149" t="s">
        <v>2309</v>
      </c>
    </row>
    <row r="150" spans="1:6" x14ac:dyDescent="0.25">
      <c r="A150" s="1" t="s">
        <v>968</v>
      </c>
      <c r="B150" t="s">
        <v>970</v>
      </c>
      <c r="C150" t="s">
        <v>2145</v>
      </c>
      <c r="D150">
        <v>145.13</v>
      </c>
      <c r="E150" t="str">
        <f>_xlfn.XLOOKUP(A150,Sheet1!A$2:A$800,Sheet1!G$2:G$800, "")</f>
        <v>Gas</v>
      </c>
      <c r="F150" t="s">
        <v>971</v>
      </c>
    </row>
    <row r="151" spans="1:6" x14ac:dyDescent="0.25">
      <c r="A151" s="1" t="s">
        <v>1234</v>
      </c>
      <c r="B151" t="s">
        <v>2180</v>
      </c>
      <c r="C151" t="s">
        <v>2181</v>
      </c>
      <c r="D151">
        <v>195.15</v>
      </c>
      <c r="E151" t="str">
        <f>_xlfn.XLOOKUP(A151,Sheet1!A$2:A$800,Sheet1!G$2:G$800, "")</f>
        <v>Gas</v>
      </c>
      <c r="F151" t="s">
        <v>1237</v>
      </c>
    </row>
    <row r="152" spans="1:6" x14ac:dyDescent="0.25">
      <c r="A152" s="1" t="s">
        <v>732</v>
      </c>
      <c r="B152" t="s">
        <v>723</v>
      </c>
      <c r="C152" t="s">
        <v>732</v>
      </c>
      <c r="D152">
        <v>147.12</v>
      </c>
      <c r="E152" t="str">
        <f>_xlfn.XLOOKUP(A152,Sheet1!A$2:A$800,Sheet1!G$2:G$800, "")</f>
        <v>Gas</v>
      </c>
      <c r="F152" t="s">
        <v>735</v>
      </c>
    </row>
    <row r="153" spans="1:6" x14ac:dyDescent="0.25">
      <c r="A153" s="1" t="s">
        <v>721</v>
      </c>
      <c r="B153" t="s">
        <v>723</v>
      </c>
      <c r="C153" t="s">
        <v>721</v>
      </c>
      <c r="D153">
        <v>147.12</v>
      </c>
      <c r="E153" t="str">
        <f>_xlfn.XLOOKUP(A153,Sheet1!A$2:A$800,Sheet1!G$2:G$800, "")</f>
        <v>Gas</v>
      </c>
      <c r="F153" t="s">
        <v>725</v>
      </c>
    </row>
    <row r="154" spans="1:6" x14ac:dyDescent="0.25">
      <c r="A154" s="1" t="s">
        <v>1211</v>
      </c>
      <c r="B154" t="s">
        <v>2177</v>
      </c>
      <c r="C154" t="s">
        <v>1212</v>
      </c>
      <c r="D154">
        <v>68.13</v>
      </c>
      <c r="E154" t="str">
        <f>_xlfn.XLOOKUP(A154,Sheet1!A$2:A$800,Sheet1!G$2:G$800, "")</f>
        <v>Gas</v>
      </c>
      <c r="F154" t="s">
        <v>1215</v>
      </c>
    </row>
    <row r="155" spans="1:6" x14ac:dyDescent="0.25">
      <c r="A155" s="1" t="s">
        <v>1120</v>
      </c>
      <c r="B155" t="s">
        <v>1122</v>
      </c>
      <c r="C155" t="s">
        <v>2171</v>
      </c>
      <c r="D155">
        <v>146.13999999999999</v>
      </c>
      <c r="E155" t="str">
        <f>_xlfn.XLOOKUP(A155,Sheet1!A$2:A$800,Sheet1!G$2:G$800, "")</f>
        <v>Gas</v>
      </c>
      <c r="F155" t="s">
        <v>1123</v>
      </c>
    </row>
    <row r="156" spans="1:6" x14ac:dyDescent="0.25">
      <c r="A156" s="4" t="s">
        <v>1135</v>
      </c>
      <c r="B156" s="7" t="s">
        <v>1137</v>
      </c>
      <c r="C156" s="7" t="s">
        <v>2173</v>
      </c>
      <c r="D156" s="7">
        <v>162.13999999999999</v>
      </c>
      <c r="E156" t="str">
        <f>_xlfn.XLOOKUP(A156,Sheet1!A$2:A$800,Sheet1!G$2:G$800, "")</f>
        <v>Gas</v>
      </c>
      <c r="F156" s="7" t="s">
        <v>1138</v>
      </c>
    </row>
    <row r="157" spans="1:6" x14ac:dyDescent="0.25">
      <c r="A157" s="4" t="s">
        <v>1139</v>
      </c>
      <c r="B157" s="7" t="s">
        <v>1137</v>
      </c>
      <c r="C157" s="7" t="s">
        <v>2174</v>
      </c>
      <c r="D157" s="7">
        <v>162.13999999999999</v>
      </c>
      <c r="E157" t="str">
        <f>_xlfn.XLOOKUP(A157,Sheet1!A$2:A$800,Sheet1!G$2:G$800, "")</f>
        <v>Gas</v>
      </c>
      <c r="F157" s="7" t="s">
        <v>1141</v>
      </c>
    </row>
    <row r="158" spans="1:6" x14ac:dyDescent="0.25">
      <c r="A158" s="1" t="s">
        <v>625</v>
      </c>
      <c r="B158" t="s">
        <v>627</v>
      </c>
      <c r="C158" t="s">
        <v>2133</v>
      </c>
      <c r="D158">
        <v>100.13</v>
      </c>
      <c r="E158" t="str">
        <f>_xlfn.XLOOKUP(A158,Sheet1!A$2:A$800,Sheet1!G$2:G$800, "")</f>
        <v>Gas</v>
      </c>
      <c r="F158" t="s">
        <v>628</v>
      </c>
    </row>
    <row r="159" spans="1:6" x14ac:dyDescent="0.25">
      <c r="A159" s="1" t="s">
        <v>736</v>
      </c>
      <c r="B159" t="s">
        <v>710</v>
      </c>
      <c r="C159" t="s">
        <v>2141</v>
      </c>
      <c r="D159">
        <v>116.13</v>
      </c>
      <c r="E159" t="str">
        <f>_xlfn.XLOOKUP(A159,Sheet1!A$2:A$800,Sheet1!G$2:G$800, "")</f>
        <v>Gas</v>
      </c>
      <c r="F159" t="s">
        <v>739</v>
      </c>
    </row>
    <row r="160" spans="1:6" x14ac:dyDescent="0.25">
      <c r="A160" s="1" t="s">
        <v>741</v>
      </c>
      <c r="B160" t="s">
        <v>710</v>
      </c>
      <c r="C160" t="s">
        <v>2142</v>
      </c>
      <c r="D160">
        <v>116.13</v>
      </c>
      <c r="E160" t="str">
        <f>_xlfn.XLOOKUP(A160,Sheet1!A$2:A$800,Sheet1!G$2:G$800, "")</f>
        <v>Gas</v>
      </c>
      <c r="F160" t="s">
        <v>744</v>
      </c>
    </row>
    <row r="161" spans="1:6" s="19" customFormat="1" x14ac:dyDescent="0.25">
      <c r="A161" s="1" t="s">
        <v>726</v>
      </c>
      <c r="B161" t="s">
        <v>710</v>
      </c>
      <c r="C161" t="s">
        <v>2140</v>
      </c>
      <c r="D161">
        <v>116.13</v>
      </c>
      <c r="E161" t="str">
        <f>_xlfn.XLOOKUP(A161,Sheet1!A$2:A$800,Sheet1!G$2:G$800, "")</f>
        <v>Gas</v>
      </c>
      <c r="F161" t="s">
        <v>729</v>
      </c>
    </row>
    <row r="162" spans="1:6" x14ac:dyDescent="0.25">
      <c r="A162" s="1" t="s">
        <v>958</v>
      </c>
      <c r="B162" t="s">
        <v>710</v>
      </c>
      <c r="C162" t="s">
        <v>959</v>
      </c>
      <c r="D162">
        <v>116.13</v>
      </c>
      <c r="E162" t="str">
        <f>_xlfn.XLOOKUP(A162,Sheet1!A$2:A$800,Sheet1!G$2:G$800, "")</f>
        <v>Gas</v>
      </c>
      <c r="F162" t="s">
        <v>961</v>
      </c>
    </row>
    <row r="163" spans="1:6" x14ac:dyDescent="0.25">
      <c r="A163" s="1" t="s">
        <v>715</v>
      </c>
      <c r="B163" t="s">
        <v>710</v>
      </c>
      <c r="C163" t="s">
        <v>2139</v>
      </c>
      <c r="D163">
        <v>116.13</v>
      </c>
      <c r="E163" t="str">
        <f>_xlfn.XLOOKUP(A163,Sheet1!A$2:A$800,Sheet1!G$2:G$800, "")</f>
        <v>Gas</v>
      </c>
      <c r="F163" t="s">
        <v>718</v>
      </c>
    </row>
    <row r="164" spans="1:6" x14ac:dyDescent="0.25">
      <c r="A164" s="1" t="s">
        <v>996</v>
      </c>
      <c r="B164" t="s">
        <v>998</v>
      </c>
      <c r="C164" t="s">
        <v>2151</v>
      </c>
      <c r="D164">
        <v>148.13</v>
      </c>
      <c r="E164" t="str">
        <f>_xlfn.XLOOKUP(A164,Sheet1!A$2:A$800,Sheet1!G$2:G$800, "")</f>
        <v>Gas</v>
      </c>
      <c r="F164" t="s">
        <v>999</v>
      </c>
    </row>
    <row r="165" spans="1:6" x14ac:dyDescent="0.25">
      <c r="A165" s="1" t="s">
        <v>1029</v>
      </c>
      <c r="B165" t="s">
        <v>2158</v>
      </c>
      <c r="C165" t="s">
        <v>1029</v>
      </c>
      <c r="D165">
        <v>241.14</v>
      </c>
      <c r="E165" t="str">
        <f>_xlfn.XLOOKUP(A165,Sheet1!A$2:A$800,Sheet1!G$2:G$800, "")</f>
        <v>Gas</v>
      </c>
      <c r="F165" t="s">
        <v>1032</v>
      </c>
    </row>
    <row r="166" spans="1:6" x14ac:dyDescent="0.25">
      <c r="A166" s="1" t="s">
        <v>1074</v>
      </c>
      <c r="B166" t="s">
        <v>1070</v>
      </c>
      <c r="C166" t="s">
        <v>2166</v>
      </c>
      <c r="D166">
        <v>147.15</v>
      </c>
      <c r="E166" t="str">
        <f>_xlfn.XLOOKUP(A166,Sheet1!A$2:A$800,Sheet1!G$2:G$800, "")</f>
        <v>Gas</v>
      </c>
      <c r="F166" t="s">
        <v>1077</v>
      </c>
    </row>
    <row r="167" spans="1:6" x14ac:dyDescent="0.25">
      <c r="A167" s="4" t="s">
        <v>1143</v>
      </c>
      <c r="B167" s="7" t="s">
        <v>1152</v>
      </c>
      <c r="C167" s="7" t="s">
        <v>2175</v>
      </c>
      <c r="D167" s="7">
        <v>163.15</v>
      </c>
      <c r="E167" t="str">
        <f>_xlfn.XLOOKUP(A167,Sheet1!A$2:A$800,Sheet1!G$2:G$800, "")</f>
        <v>Gas</v>
      </c>
      <c r="F167" s="7" t="s">
        <v>1146</v>
      </c>
    </row>
    <row r="168" spans="1:6" x14ac:dyDescent="0.25">
      <c r="A168" s="1" t="s">
        <v>1080</v>
      </c>
      <c r="B168" t="s">
        <v>1070</v>
      </c>
      <c r="C168" t="s">
        <v>2167</v>
      </c>
      <c r="D168">
        <v>147.15</v>
      </c>
      <c r="E168" t="str">
        <f>_xlfn.XLOOKUP(A168,Sheet1!A$2:A$800,Sheet1!G$2:G$800, "")</f>
        <v>Gas</v>
      </c>
      <c r="F168" t="s">
        <v>1083</v>
      </c>
    </row>
    <row r="169" spans="1:6" s="19" customFormat="1" x14ac:dyDescent="0.25">
      <c r="A169" s="1" t="s">
        <v>1068</v>
      </c>
      <c r="B169" t="s">
        <v>1070</v>
      </c>
      <c r="C169" t="s">
        <v>2165</v>
      </c>
      <c r="D169">
        <v>147.15</v>
      </c>
      <c r="E169" t="str">
        <f>_xlfn.XLOOKUP(A169,Sheet1!A$2:A$800,Sheet1!G$2:G$800, "")</f>
        <v>Gas</v>
      </c>
      <c r="F169" t="s">
        <v>1071</v>
      </c>
    </row>
    <row r="170" spans="1:6" x14ac:dyDescent="0.25">
      <c r="A170" s="1" t="s">
        <v>1086</v>
      </c>
      <c r="B170" t="s">
        <v>1070</v>
      </c>
      <c r="C170" t="s">
        <v>2165</v>
      </c>
      <c r="D170">
        <v>147.15</v>
      </c>
      <c r="E170" t="str">
        <f>_xlfn.XLOOKUP(A170,Sheet1!A$2:A$800,Sheet1!G$2:G$800, "")</f>
        <v>Gas</v>
      </c>
      <c r="F170" t="s">
        <v>1088</v>
      </c>
    </row>
    <row r="171" spans="1:6" x14ac:dyDescent="0.25">
      <c r="A171" s="4" t="s">
        <v>1150</v>
      </c>
      <c r="B171" s="7" t="s">
        <v>1152</v>
      </c>
      <c r="C171" s="7" t="s">
        <v>2176</v>
      </c>
      <c r="D171" s="7">
        <v>163.15</v>
      </c>
      <c r="E171" t="str">
        <f>_xlfn.XLOOKUP(A171,Sheet1!A$2:A$800,Sheet1!G$2:G$800, "")</f>
        <v>Gas</v>
      </c>
      <c r="F171" s="7" t="s">
        <v>1153</v>
      </c>
    </row>
    <row r="172" spans="1:6" x14ac:dyDescent="0.25">
      <c r="A172" s="1" t="s">
        <v>1091</v>
      </c>
      <c r="B172" t="s">
        <v>1093</v>
      </c>
      <c r="C172" t="s">
        <v>2168</v>
      </c>
      <c r="D172">
        <v>117.14</v>
      </c>
      <c r="E172" t="str">
        <f>_xlfn.XLOOKUP(A172,Sheet1!A$2:A$800,Sheet1!G$2:G$800, "")</f>
        <v>Gas</v>
      </c>
      <c r="F172" t="s">
        <v>1094</v>
      </c>
    </row>
    <row r="173" spans="1:6" x14ac:dyDescent="0.25">
      <c r="A173" s="1" t="s">
        <v>1096</v>
      </c>
      <c r="B173" t="s">
        <v>1093</v>
      </c>
      <c r="C173" t="s">
        <v>2169</v>
      </c>
      <c r="D173">
        <v>117.14</v>
      </c>
      <c r="E173" t="str">
        <f>_xlfn.XLOOKUP(A173,Sheet1!A$2:A$800,Sheet1!G$2:G$800, "")</f>
        <v>Gas</v>
      </c>
      <c r="F173" t="s">
        <v>1098</v>
      </c>
    </row>
    <row r="174" spans="1:6" x14ac:dyDescent="0.25">
      <c r="A174" s="1" t="s">
        <v>1045</v>
      </c>
      <c r="B174" t="s">
        <v>998</v>
      </c>
      <c r="C174" t="s">
        <v>2161</v>
      </c>
      <c r="D174">
        <v>149.13999999999999</v>
      </c>
      <c r="E174" t="str">
        <f>_xlfn.XLOOKUP(A174,Sheet1!A$2:A$800,Sheet1!G$2:G$800, "")</f>
        <v>Gas</v>
      </c>
      <c r="F174" t="s">
        <v>1049</v>
      </c>
    </row>
    <row r="175" spans="1:6" x14ac:dyDescent="0.25">
      <c r="A175" s="1" t="s">
        <v>962</v>
      </c>
      <c r="B175" t="s">
        <v>964</v>
      </c>
      <c r="C175" t="s">
        <v>2144</v>
      </c>
      <c r="D175">
        <v>149.13999999999999</v>
      </c>
      <c r="E175" t="str">
        <f>_xlfn.XLOOKUP(A175,Sheet1!A$2:A$800,Sheet1!G$2:G$800, "")</f>
        <v>Gas</v>
      </c>
      <c r="F175" t="s">
        <v>966</v>
      </c>
    </row>
    <row r="176" spans="1:6" x14ac:dyDescent="0.25">
      <c r="A176" s="1" t="s">
        <v>1057</v>
      </c>
      <c r="B176" t="s">
        <v>964</v>
      </c>
      <c r="C176" t="s">
        <v>2163</v>
      </c>
      <c r="D176">
        <v>149.13999999999999</v>
      </c>
      <c r="E176" t="str">
        <f>_xlfn.XLOOKUP(A176,Sheet1!A$2:A$800,Sheet1!G$2:G$800, "")</f>
        <v>Gas</v>
      </c>
      <c r="F176" t="s">
        <v>1060</v>
      </c>
    </row>
    <row r="177" spans="1:20" x14ac:dyDescent="0.25">
      <c r="A177" s="4" t="s">
        <v>1621</v>
      </c>
      <c r="B177" s="7" t="s">
        <v>1623</v>
      </c>
      <c r="C177" s="7" t="s">
        <v>1622</v>
      </c>
      <c r="D177" s="7">
        <v>139.11000000000001</v>
      </c>
      <c r="E177" s="7" t="str">
        <f>_xlfn.XLOOKUP(A177,Sheet1!A$2:A$800,Sheet1!G$2:G$800, "")</f>
        <v>Gas</v>
      </c>
      <c r="F177" s="7" t="s">
        <v>1625</v>
      </c>
    </row>
    <row r="178" spans="1:20" x14ac:dyDescent="0.25">
      <c r="A178" s="1" t="s">
        <v>116</v>
      </c>
      <c r="B178" t="s">
        <v>118</v>
      </c>
      <c r="C178" t="s">
        <v>117</v>
      </c>
      <c r="D178">
        <v>93</v>
      </c>
      <c r="E178" t="str">
        <f>_xlfn.XLOOKUP(A178,Sheet1!A$2:A$800,Sheet1!G$2:G$800, "")</f>
        <v>Gas</v>
      </c>
      <c r="F178" t="s">
        <v>120</v>
      </c>
    </row>
    <row r="179" spans="1:20" x14ac:dyDescent="0.25">
      <c r="A179" s="1" t="s">
        <v>121</v>
      </c>
      <c r="B179" t="s">
        <v>123</v>
      </c>
      <c r="C179" t="s">
        <v>122</v>
      </c>
      <c r="D179">
        <v>109</v>
      </c>
      <c r="E179" t="str">
        <f>_xlfn.XLOOKUP(A179,Sheet1!A$2:A$800,Sheet1!G$2:G$800, "")</f>
        <v>Gas</v>
      </c>
      <c r="F179" t="s">
        <v>125</v>
      </c>
    </row>
    <row r="180" spans="1:20" x14ac:dyDescent="0.25">
      <c r="A180" s="1" t="s">
        <v>110</v>
      </c>
      <c r="B180" t="s">
        <v>112</v>
      </c>
      <c r="C180" t="s">
        <v>111</v>
      </c>
      <c r="D180">
        <v>78.12</v>
      </c>
      <c r="E180" t="str">
        <f>_xlfn.XLOOKUP(A180,Sheet1!A$2:A$800,Sheet1!G$2:G$800, "")</f>
        <v>Gas</v>
      </c>
      <c r="F180" t="s">
        <v>114</v>
      </c>
    </row>
    <row r="181" spans="1:20" x14ac:dyDescent="0.25">
      <c r="A181" s="1" t="s">
        <v>1745</v>
      </c>
      <c r="B181" t="s">
        <v>1747</v>
      </c>
      <c r="C181" t="s">
        <v>1746</v>
      </c>
      <c r="D181">
        <v>94.11</v>
      </c>
      <c r="E181" t="str">
        <f>_xlfn.XLOOKUP(A181,Sheet1!A$2:A$800,Sheet1!G$2:G$800, "")</f>
        <v>Gas</v>
      </c>
      <c r="F181" t="s">
        <v>1749</v>
      </c>
    </row>
    <row r="182" spans="1:20" x14ac:dyDescent="0.25">
      <c r="A182" s="4" t="s">
        <v>1403</v>
      </c>
      <c r="B182" s="7" t="s">
        <v>1405</v>
      </c>
      <c r="C182" s="7" t="s">
        <v>1404</v>
      </c>
      <c r="D182" s="7">
        <v>124</v>
      </c>
      <c r="E182" s="7" t="str">
        <f>_xlfn.XLOOKUP(A182,Sheet1!A$2:A$800,Sheet1!G$2:G$800, "")</f>
        <v>Gas</v>
      </c>
      <c r="F182" s="7" t="s">
        <v>1406</v>
      </c>
    </row>
    <row r="183" spans="1:20" x14ac:dyDescent="0.25">
      <c r="A183" s="1" t="s">
        <v>127</v>
      </c>
      <c r="B183" t="s">
        <v>129</v>
      </c>
      <c r="C183" t="s">
        <v>128</v>
      </c>
      <c r="D183">
        <v>110.11</v>
      </c>
      <c r="E183" t="str">
        <f>_xlfn.XLOOKUP(A183,Sheet1!A$2:A$800,Sheet1!G$2:G$800, "")</f>
        <v>Gas</v>
      </c>
      <c r="F183" t="s">
        <v>131</v>
      </c>
    </row>
    <row r="184" spans="1:20" x14ac:dyDescent="0.25">
      <c r="A184" s="1" t="s">
        <v>134</v>
      </c>
      <c r="B184" t="s">
        <v>136</v>
      </c>
      <c r="C184" t="s">
        <v>135</v>
      </c>
      <c r="D184">
        <v>159.13</v>
      </c>
      <c r="E184" t="str">
        <f>_xlfn.XLOOKUP(A184,Sheet1!A$2:A$800,Sheet1!G$2:G$800, "")</f>
        <v>Gas</v>
      </c>
      <c r="F184" t="s">
        <v>138</v>
      </c>
    </row>
    <row r="185" spans="1:20" x14ac:dyDescent="0.25">
      <c r="A185" s="31" t="s">
        <v>152</v>
      </c>
      <c r="B185" s="32" t="s">
        <v>154</v>
      </c>
      <c r="C185" s="32" t="s">
        <v>153</v>
      </c>
      <c r="D185" s="32">
        <v>183.12</v>
      </c>
      <c r="E185" s="32" t="str">
        <f>_xlfn.XLOOKUP(A185,Sheet1!A$2:A$800,Sheet1!G$2:G$800, "")</f>
        <v>Gas</v>
      </c>
      <c r="F185" s="32" t="s">
        <v>156</v>
      </c>
    </row>
    <row r="186" spans="1:20" x14ac:dyDescent="0.25">
      <c r="A186" s="1" t="s">
        <v>141</v>
      </c>
      <c r="B186" t="s">
        <v>143</v>
      </c>
      <c r="C186" t="s">
        <v>142</v>
      </c>
      <c r="D186">
        <v>137</v>
      </c>
      <c r="E186" t="str">
        <f>_xlfn.XLOOKUP(A186,Sheet1!A$2:A$800,Sheet1!G$2:G$800, "")</f>
        <v>Gas</v>
      </c>
      <c r="F186" t="s">
        <v>145</v>
      </c>
    </row>
    <row r="187" spans="1:20" x14ac:dyDescent="0.25">
      <c r="A187" s="1" t="s">
        <v>99</v>
      </c>
      <c r="B187" t="s">
        <v>101</v>
      </c>
      <c r="C187" t="s">
        <v>100</v>
      </c>
      <c r="D187">
        <v>106.12</v>
      </c>
      <c r="E187" t="str">
        <f>_xlfn.XLOOKUP(A187,Sheet1!A$2:A$800,Sheet1!G$2:G$800, "")</f>
        <v>Gas</v>
      </c>
      <c r="F187" t="s">
        <v>103</v>
      </c>
    </row>
    <row r="188" spans="1:20" x14ac:dyDescent="0.25">
      <c r="A188" s="1" t="s">
        <v>147</v>
      </c>
      <c r="B188" t="s">
        <v>149</v>
      </c>
      <c r="C188" t="s">
        <v>148</v>
      </c>
      <c r="D188">
        <v>138.12</v>
      </c>
      <c r="E188" t="str">
        <f>_xlfn.XLOOKUP(A188,Sheet1!A$2:A$800,Sheet1!G$2:G$800, "")</f>
        <v>Gas</v>
      </c>
      <c r="F188" t="s">
        <v>151</v>
      </c>
    </row>
    <row r="189" spans="1:20" s="20" customFormat="1" x14ac:dyDescent="0.25">
      <c r="A189" s="1" t="s">
        <v>1987</v>
      </c>
      <c r="B189" t="s">
        <v>1989</v>
      </c>
      <c r="C189" t="s">
        <v>1988</v>
      </c>
      <c r="D189">
        <v>173.16</v>
      </c>
      <c r="E189" t="str">
        <f>_xlfn.XLOOKUP(A189,Sheet1!A$2:A$800,Sheet1!G$2:G$800, "")</f>
        <v>Gas</v>
      </c>
      <c r="F189" t="s">
        <v>1990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1:20" s="19" customFormat="1" x14ac:dyDescent="0.25">
      <c r="A190" s="1" t="s">
        <v>1981</v>
      </c>
      <c r="B190" t="s">
        <v>1983</v>
      </c>
      <c r="C190" t="s">
        <v>1982</v>
      </c>
      <c r="D190">
        <v>92.15</v>
      </c>
      <c r="E190" t="str">
        <f>_xlfn.XLOOKUP(A190,Sheet1!A$2:A$800,Sheet1!G$2:G$800, "")</f>
        <v>Gas</v>
      </c>
      <c r="F190" t="s">
        <v>1985</v>
      </c>
    </row>
    <row r="191" spans="1:20" s="7" customFormat="1" x14ac:dyDescent="0.25">
      <c r="A191" s="1" t="s">
        <v>423</v>
      </c>
      <c r="B191" t="s">
        <v>425</v>
      </c>
      <c r="C191" t="s">
        <v>424</v>
      </c>
      <c r="D191">
        <v>108.14</v>
      </c>
      <c r="E191" t="str">
        <f>_xlfn.XLOOKUP(A191,Sheet1!A$2:A$800,Sheet1!G$2:G$800, "")</f>
        <v>Gas</v>
      </c>
      <c r="F191" t="s">
        <v>427</v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1:20" s="7" customFormat="1" x14ac:dyDescent="0.25">
      <c r="A192" s="1" t="s">
        <v>2117</v>
      </c>
      <c r="B192" s="15" t="s">
        <v>2018</v>
      </c>
      <c r="C192" s="15" t="s">
        <v>2118</v>
      </c>
      <c r="D192" s="15">
        <v>106.167</v>
      </c>
      <c r="E192" t="s">
        <v>18</v>
      </c>
      <c r="F192" s="15" t="s">
        <v>2312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1:20" s="7" customFormat="1" x14ac:dyDescent="0.25">
      <c r="A193" s="1" t="s">
        <v>2016</v>
      </c>
      <c r="B193" t="s">
        <v>2018</v>
      </c>
      <c r="C193" t="s">
        <v>2017</v>
      </c>
      <c r="D193">
        <v>106.18</v>
      </c>
      <c r="E193" t="str">
        <f>_xlfn.XLOOKUP(A193,Sheet1!A$2:A$800,Sheet1!G$2:G$800, "")</f>
        <v>Gas</v>
      </c>
      <c r="F193" t="s">
        <v>2019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1:20" s="7" customFormat="1" x14ac:dyDescent="0.25">
      <c r="A194" s="31" t="s">
        <v>2287</v>
      </c>
      <c r="B194" s="35" t="s">
        <v>2288</v>
      </c>
      <c r="C194" s="35" t="s">
        <v>2289</v>
      </c>
      <c r="D194" s="35">
        <v>104.1491</v>
      </c>
      <c r="E194" s="35" t="s">
        <v>18</v>
      </c>
      <c r="F194" s="35" t="s">
        <v>2317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spans="1:20" x14ac:dyDescent="0.25">
      <c r="A195" s="34" t="s">
        <v>2105</v>
      </c>
      <c r="B195" s="33" t="s">
        <v>2106</v>
      </c>
      <c r="C195" s="33" t="s">
        <v>2107</v>
      </c>
      <c r="D195" s="33">
        <v>215.28</v>
      </c>
      <c r="E195" s="33" t="s">
        <v>18</v>
      </c>
      <c r="F195" s="33" t="s">
        <v>2108</v>
      </c>
    </row>
    <row r="196" spans="1:20" s="7" customFormat="1" x14ac:dyDescent="0.25">
      <c r="A196" s="8" t="s">
        <v>2111</v>
      </c>
      <c r="B196" s="9" t="s">
        <v>2112</v>
      </c>
      <c r="C196" s="9" t="s">
        <v>2113</v>
      </c>
      <c r="D196" s="9">
        <v>186.28</v>
      </c>
      <c r="E196" s="9" t="s">
        <v>18</v>
      </c>
      <c r="F196" s="9" t="s">
        <v>2114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1:20" x14ac:dyDescent="0.25">
      <c r="A197" s="1" t="s">
        <v>584</v>
      </c>
      <c r="B197" t="s">
        <v>586</v>
      </c>
      <c r="C197" t="s">
        <v>585</v>
      </c>
      <c r="D197">
        <v>165.36</v>
      </c>
      <c r="E197" t="str">
        <f>_xlfn.XLOOKUP(A197,Sheet1!A$2:A$800,Sheet1!G$2:G$800, "")</f>
        <v>Gas</v>
      </c>
      <c r="F197" t="s">
        <v>588</v>
      </c>
    </row>
    <row r="198" spans="1:20" x14ac:dyDescent="0.25">
      <c r="A198" s="1" t="s">
        <v>589</v>
      </c>
      <c r="B198" t="s">
        <v>591</v>
      </c>
      <c r="C198" t="s">
        <v>590</v>
      </c>
      <c r="D198">
        <v>148.91</v>
      </c>
      <c r="E198" t="str">
        <f>_xlfn.XLOOKUP(A198,Sheet1!A$2:A$800,Sheet1!G$2:G$800, "")</f>
        <v>Gas</v>
      </c>
      <c r="F198" t="s">
        <v>593</v>
      </c>
    </row>
    <row r="199" spans="1:20" x14ac:dyDescent="0.25">
      <c r="A199" s="1" t="s">
        <v>243</v>
      </c>
      <c r="B199" t="s">
        <v>245</v>
      </c>
      <c r="C199" t="s">
        <v>244</v>
      </c>
      <c r="D199">
        <v>120.91</v>
      </c>
      <c r="E199" t="str">
        <f>_xlfn.XLOOKUP(A199,Sheet1!A$2:A$800,Sheet1!G$2:G$800, "")</f>
        <v>Gas</v>
      </c>
      <c r="F199" t="s">
        <v>247</v>
      </c>
    </row>
    <row r="200" spans="1:20" x14ac:dyDescent="0.25">
      <c r="A200" s="1" t="s">
        <v>223</v>
      </c>
      <c r="B200" t="s">
        <v>225</v>
      </c>
      <c r="C200" t="s">
        <v>224</v>
      </c>
      <c r="D200">
        <v>137.37</v>
      </c>
      <c r="E200" t="str">
        <f>_xlfn.XLOOKUP(A200,Sheet1!A$2:A$800,Sheet1!G$2:G$800, "")</f>
        <v>Gas</v>
      </c>
      <c r="F200" t="s">
        <v>227</v>
      </c>
    </row>
    <row r="201" spans="1:20" x14ac:dyDescent="0.25">
      <c r="A201" s="1" t="s">
        <v>219</v>
      </c>
      <c r="B201" t="s">
        <v>219</v>
      </c>
      <c r="C201" t="s">
        <v>220</v>
      </c>
      <c r="D201">
        <v>153.82</v>
      </c>
      <c r="E201" t="str">
        <f>_xlfn.XLOOKUP(A201,Sheet1!A$2:A$800,Sheet1!G$2:G$800, "")</f>
        <v>Gas</v>
      </c>
      <c r="F201" t="s">
        <v>222</v>
      </c>
    </row>
    <row r="202" spans="1:20" x14ac:dyDescent="0.25">
      <c r="A202" s="1" t="s">
        <v>248</v>
      </c>
      <c r="B202" t="s">
        <v>248</v>
      </c>
      <c r="C202" t="s">
        <v>249</v>
      </c>
      <c r="D202">
        <v>173.83</v>
      </c>
      <c r="E202" t="str">
        <f>_xlfn.XLOOKUP(A202,Sheet1!A$2:A$800,Sheet1!G$2:G$800, "")</f>
        <v>Gas</v>
      </c>
      <c r="F202" t="s">
        <v>2115</v>
      </c>
    </row>
    <row r="203" spans="1:20" x14ac:dyDescent="0.25">
      <c r="A203" s="1" t="s">
        <v>260</v>
      </c>
      <c r="B203" t="s">
        <v>260</v>
      </c>
      <c r="C203" t="s">
        <v>261</v>
      </c>
      <c r="D203">
        <v>220.84</v>
      </c>
      <c r="E203" t="str">
        <f>_xlfn.XLOOKUP(A203,Sheet1!A$2:A$800,Sheet1!G$2:G$800, "")</f>
        <v>Gas</v>
      </c>
      <c r="F203" t="s">
        <v>263</v>
      </c>
    </row>
    <row r="204" spans="1:20" x14ac:dyDescent="0.25">
      <c r="A204" s="1" t="s">
        <v>251</v>
      </c>
      <c r="B204" t="s">
        <v>251</v>
      </c>
      <c r="C204" t="s">
        <v>252</v>
      </c>
      <c r="D204">
        <v>84.93</v>
      </c>
      <c r="E204" t="str">
        <f>_xlfn.XLOOKUP(A204,Sheet1!A$2:A$800,Sheet1!G$2:G$800, "")</f>
        <v>Gas</v>
      </c>
      <c r="F204" t="s">
        <v>254</v>
      </c>
    </row>
    <row r="205" spans="1:20" x14ac:dyDescent="0.25">
      <c r="A205" s="1" t="s">
        <v>264</v>
      </c>
      <c r="B205" t="s">
        <v>264</v>
      </c>
      <c r="C205" t="s">
        <v>265</v>
      </c>
      <c r="D205">
        <v>176.38</v>
      </c>
      <c r="E205" t="str">
        <f>_xlfn.XLOOKUP(A205,Sheet1!A$2:A$800,Sheet1!G$2:G$800, "")</f>
        <v>Gas</v>
      </c>
      <c r="F205" t="s">
        <v>267</v>
      </c>
    </row>
    <row r="206" spans="1:20" x14ac:dyDescent="0.25">
      <c r="A206" s="1" t="s">
        <v>256</v>
      </c>
      <c r="B206" t="s">
        <v>256</v>
      </c>
      <c r="C206" t="s">
        <v>257</v>
      </c>
      <c r="D206">
        <v>267.83999999999997</v>
      </c>
      <c r="E206" t="str">
        <f>_xlfn.XLOOKUP(A206,Sheet1!A$2:A$800,Sheet1!G$2:G$800, "")</f>
        <v>Gas</v>
      </c>
      <c r="F206" t="s">
        <v>259</v>
      </c>
    </row>
    <row r="207" spans="1:20" s="9" customFormat="1" x14ac:dyDescent="0.25">
      <c r="A207" s="1" t="s">
        <v>268</v>
      </c>
      <c r="B207" t="s">
        <v>268</v>
      </c>
      <c r="C207" t="s">
        <v>269</v>
      </c>
      <c r="D207">
        <v>30.03</v>
      </c>
      <c r="E207" t="str">
        <f>_xlfn.XLOOKUP(A207,Sheet1!A$2:A$800,Sheet1!G$2:G$800, "")</f>
        <v>Gas</v>
      </c>
      <c r="F207" t="s">
        <v>271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1:20" s="14" customFormat="1" x14ac:dyDescent="0.25">
      <c r="A208" s="1" t="s">
        <v>273</v>
      </c>
      <c r="B208" t="s">
        <v>273</v>
      </c>
      <c r="C208" t="s">
        <v>274</v>
      </c>
      <c r="D208">
        <v>46.03</v>
      </c>
      <c r="E208" t="str">
        <f>_xlfn.XLOOKUP(A208,Sheet1!A$2:A$800,Sheet1!G$2:G$800, "")</f>
        <v>Gas</v>
      </c>
      <c r="F208" t="s">
        <v>277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</row>
    <row r="209" spans="1:20" s="14" customFormat="1" x14ac:dyDescent="0.25">
      <c r="A209" s="1" t="s">
        <v>654</v>
      </c>
      <c r="B209" t="s">
        <v>654</v>
      </c>
      <c r="C209" t="s">
        <v>655</v>
      </c>
      <c r="D209">
        <v>46.03</v>
      </c>
      <c r="E209" t="str">
        <f>_xlfn.XLOOKUP(A209,Sheet1!A$2:A$800,Sheet1!G$2:G$800, "")</f>
        <v>Gas</v>
      </c>
      <c r="F209" t="s">
        <v>658</v>
      </c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</row>
    <row r="210" spans="1:20" s="14" customFormat="1" x14ac:dyDescent="0.25">
      <c r="A210" s="1" t="s">
        <v>279</v>
      </c>
      <c r="B210" t="s">
        <v>279</v>
      </c>
      <c r="C210" t="s">
        <v>280</v>
      </c>
      <c r="D210">
        <v>94.94</v>
      </c>
      <c r="E210" t="str">
        <f>_xlfn.XLOOKUP(A210,Sheet1!A$2:A$800,Sheet1!G$2:G$800, "")</f>
        <v>Gas</v>
      </c>
      <c r="F210" t="s">
        <v>282</v>
      </c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</row>
    <row r="211" spans="1:20" s="16" customFormat="1" x14ac:dyDescent="0.25">
      <c r="A211" s="1" t="s">
        <v>294</v>
      </c>
      <c r="B211" t="s">
        <v>294</v>
      </c>
      <c r="C211" t="s">
        <v>295</v>
      </c>
      <c r="D211">
        <v>50.45</v>
      </c>
      <c r="E211" t="str">
        <f>_xlfn.XLOOKUP(A211,Sheet1!A$2:A$800,Sheet1!G$2:G$800, "")</f>
        <v>Gas</v>
      </c>
      <c r="F211" t="s">
        <v>297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1:20" s="16" customFormat="1" x14ac:dyDescent="0.25">
      <c r="A212" s="1" t="s">
        <v>299</v>
      </c>
      <c r="B212" t="s">
        <v>299</v>
      </c>
      <c r="C212" t="s">
        <v>300</v>
      </c>
      <c r="D212">
        <v>141.94</v>
      </c>
      <c r="E212" t="str">
        <f>_xlfn.XLOOKUP(A212,Sheet1!A$2:A$800,Sheet1!G$2:G$800, "")</f>
        <v>Gas</v>
      </c>
      <c r="F212" t="s">
        <v>302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1:20" s="16" customFormat="1" x14ac:dyDescent="0.25">
      <c r="A213" s="1" t="s">
        <v>1414</v>
      </c>
      <c r="B213" t="s">
        <v>1416</v>
      </c>
      <c r="C213" t="s">
        <v>1415</v>
      </c>
      <c r="D213">
        <v>77.05</v>
      </c>
      <c r="E213" t="str">
        <f>_xlfn.XLOOKUP(A213,Sheet1!A$2:A$800,Sheet1!G$2:G$800, "")</f>
        <v>Gas</v>
      </c>
      <c r="F213" t="s">
        <v>1418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1:20" x14ac:dyDescent="0.25">
      <c r="A214" s="1" t="s">
        <v>1481</v>
      </c>
      <c r="B214" t="s">
        <v>1486</v>
      </c>
      <c r="C214" t="s">
        <v>1482</v>
      </c>
      <c r="D214">
        <v>93.05</v>
      </c>
      <c r="E214" t="str">
        <f>_xlfn.XLOOKUP(A214,Sheet1!A$2:A$800,Sheet1!G$2:G$800, "")</f>
        <v>Gas</v>
      </c>
      <c r="F214" t="s">
        <v>1485</v>
      </c>
    </row>
    <row r="215" spans="1:20" x14ac:dyDescent="0.25">
      <c r="A215" s="1" t="s">
        <v>1437</v>
      </c>
      <c r="B215" t="s">
        <v>1439</v>
      </c>
      <c r="C215" t="s">
        <v>1438</v>
      </c>
      <c r="D215">
        <v>47.04</v>
      </c>
      <c r="E215" t="str">
        <f>_xlfn.XLOOKUP(A215,Sheet1!A$2:A$800,Sheet1!G$2:G$800, "")</f>
        <v>Gas</v>
      </c>
      <c r="F215" t="s">
        <v>1441</v>
      </c>
    </row>
    <row r="216" spans="1:20" s="14" customFormat="1" x14ac:dyDescent="0.25">
      <c r="A216" s="1" t="s">
        <v>305</v>
      </c>
      <c r="B216" t="s">
        <v>305</v>
      </c>
      <c r="C216" t="s">
        <v>306</v>
      </c>
      <c r="D216">
        <v>16.04</v>
      </c>
      <c r="E216" t="str">
        <f>_xlfn.XLOOKUP(A216,Sheet1!A$2:A$800,Sheet1!G$2:G$800, "")</f>
        <v>Gas</v>
      </c>
      <c r="F216" t="s">
        <v>307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</row>
    <row r="217" spans="1:20" s="9" customFormat="1" x14ac:dyDescent="0.25">
      <c r="A217" s="1" t="s">
        <v>1448</v>
      </c>
      <c r="B217" t="s">
        <v>1450</v>
      </c>
      <c r="C217" t="s">
        <v>1449</v>
      </c>
      <c r="D217">
        <v>32.049999999999997</v>
      </c>
      <c r="E217" t="str">
        <f>_xlfn.XLOOKUP(A217,Sheet1!A$2:A$800,Sheet1!G$2:G$800, "")</f>
        <v>Gas</v>
      </c>
      <c r="F217" t="s">
        <v>1451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1:20" s="14" customFormat="1" x14ac:dyDescent="0.25">
      <c r="A218" s="1" t="s">
        <v>1469</v>
      </c>
      <c r="B218" t="s">
        <v>1471</v>
      </c>
      <c r="C218" t="s">
        <v>1470</v>
      </c>
      <c r="D218">
        <v>48.05</v>
      </c>
      <c r="E218" t="str">
        <f>_xlfn.XLOOKUP(A218,Sheet1!A$2:A$800,Sheet1!G$2:G$800, "")</f>
        <v>Gas</v>
      </c>
      <c r="F218" t="s">
        <v>1473</v>
      </c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</row>
    <row r="219" spans="1:20" s="9" customFormat="1" x14ac:dyDescent="0.25">
      <c r="A219" s="1" t="s">
        <v>665</v>
      </c>
      <c r="B219" t="s">
        <v>2134</v>
      </c>
      <c r="C219" t="s">
        <v>666</v>
      </c>
      <c r="D219">
        <v>64.05</v>
      </c>
      <c r="E219" t="str">
        <f>_xlfn.XLOOKUP(A219,Sheet1!A$2:A$800,Sheet1!G$2:G$800, "")</f>
        <v>Gas</v>
      </c>
      <c r="F219" t="s">
        <v>669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1:20" s="13" customFormat="1" x14ac:dyDescent="0.25">
      <c r="A220" s="26" t="s">
        <v>1494</v>
      </c>
      <c r="B220" s="21" t="s">
        <v>2233</v>
      </c>
      <c r="C220" s="21" t="s">
        <v>1495</v>
      </c>
      <c r="D220" s="21">
        <v>96.1</v>
      </c>
      <c r="E220" s="21" t="str">
        <f>_xlfn.XLOOKUP(A220,Sheet1!A$2:A$800,Sheet1!G$2:G$800, "")</f>
        <v>Aerosol</v>
      </c>
      <c r="F220" s="21" t="s">
        <v>1498</v>
      </c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</row>
    <row r="221" spans="1:20" s="13" customFormat="1" ht="16.5" x14ac:dyDescent="0.3">
      <c r="A221" s="26" t="s">
        <v>676</v>
      </c>
      <c r="B221" s="27" t="s">
        <v>2137</v>
      </c>
      <c r="C221" s="27" t="s">
        <v>677</v>
      </c>
      <c r="D221" s="27">
        <v>111.1</v>
      </c>
      <c r="E221" s="21" t="str">
        <f>_xlfn.XLOOKUP(A221,Sheet1!A$2:A$800,Sheet1!G$2:G$800, "")</f>
        <v>Aerosol</v>
      </c>
      <c r="F221" s="30" t="s">
        <v>2308</v>
      </c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</row>
    <row r="222" spans="1:20" s="13" customFormat="1" x14ac:dyDescent="0.25">
      <c r="A222" s="1" t="s">
        <v>336</v>
      </c>
      <c r="B222" t="s">
        <v>336</v>
      </c>
      <c r="C222" t="s">
        <v>337</v>
      </c>
      <c r="D222">
        <v>252.73</v>
      </c>
      <c r="E222" t="str">
        <f>_xlfn.XLOOKUP(A222,Sheet1!A$2:A$800,Sheet1!G$2:G$800, "")</f>
        <v>Gas</v>
      </c>
      <c r="F222" t="s">
        <v>339</v>
      </c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</row>
    <row r="223" spans="1:20" s="13" customFormat="1" x14ac:dyDescent="0.25">
      <c r="A223" s="1" t="s">
        <v>340</v>
      </c>
      <c r="B223" t="s">
        <v>340</v>
      </c>
      <c r="C223" t="s">
        <v>341</v>
      </c>
      <c r="D223">
        <v>119.35</v>
      </c>
      <c r="E223" t="str">
        <f>_xlfn.XLOOKUP(A223,Sheet1!A$2:A$800,Sheet1!G$2:G$800, "")</f>
        <v>Gas</v>
      </c>
      <c r="F223" t="s">
        <v>343</v>
      </c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</row>
    <row r="224" spans="1:20" s="13" customFormat="1" x14ac:dyDescent="0.25">
      <c r="A224" s="1" t="s">
        <v>649</v>
      </c>
      <c r="B224" t="s">
        <v>651</v>
      </c>
      <c r="C224" t="s">
        <v>650</v>
      </c>
      <c r="D224">
        <v>86.47</v>
      </c>
      <c r="E224" t="str">
        <f>_xlfn.XLOOKUP(A224,Sheet1!A$2:A$800,Sheet1!G$2:G$800, "")</f>
        <v>Gas</v>
      </c>
      <c r="F224" t="s">
        <v>653</v>
      </c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</row>
    <row r="225" spans="1:20" s="13" customFormat="1" x14ac:dyDescent="0.25">
      <c r="A225" s="1" t="s">
        <v>438</v>
      </c>
      <c r="B225" t="s">
        <v>438</v>
      </c>
      <c r="C225" t="s">
        <v>439</v>
      </c>
      <c r="D225">
        <v>35.450000000000003</v>
      </c>
      <c r="E225" t="str">
        <f>_xlfn.XLOOKUP(A225,Sheet1!A$2:A$800,Sheet1!G$2:G$800, "")</f>
        <v>Gas</v>
      </c>
      <c r="F225" t="s">
        <v>441</v>
      </c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</row>
    <row r="226" spans="1:20" s="16" customFormat="1" x14ac:dyDescent="0.25">
      <c r="A226" s="1" t="s">
        <v>442</v>
      </c>
      <c r="B226" t="s">
        <v>442</v>
      </c>
      <c r="C226" t="s">
        <v>443</v>
      </c>
      <c r="D226">
        <v>70.900000000000006</v>
      </c>
      <c r="E226" t="str">
        <f>_xlfn.XLOOKUP(A226,Sheet1!A$2:A$800,Sheet1!G$2:G$800, "")</f>
        <v>Gas</v>
      </c>
      <c r="F226" t="s">
        <v>445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1:20" s="16" customFormat="1" x14ac:dyDescent="0.25">
      <c r="A227" s="1" t="s">
        <v>446</v>
      </c>
      <c r="B227" t="s">
        <v>446</v>
      </c>
      <c r="C227" t="s">
        <v>447</v>
      </c>
      <c r="D227">
        <v>102.91</v>
      </c>
      <c r="E227" t="str">
        <f>_xlfn.XLOOKUP(A227,Sheet1!A$2:A$800,Sheet1!G$2:G$800, "")</f>
        <v>Gas</v>
      </c>
      <c r="F227" t="s">
        <v>449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1:20" s="13" customFormat="1" x14ac:dyDescent="0.25">
      <c r="A228" s="1" t="s">
        <v>659</v>
      </c>
      <c r="B228" t="s">
        <v>659</v>
      </c>
      <c r="C228" t="s">
        <v>660</v>
      </c>
      <c r="D228">
        <v>36.450000000000003</v>
      </c>
      <c r="E228" t="str">
        <f>_xlfn.XLOOKUP(A228,Sheet1!A$2:A$800,Sheet1!G$2:G$800, "")</f>
        <v>Gas</v>
      </c>
      <c r="F228" t="s">
        <v>661</v>
      </c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1:20" s="13" customFormat="1" x14ac:dyDescent="0.25">
      <c r="A229" s="26" t="s">
        <v>1925</v>
      </c>
      <c r="B229" s="27" t="s">
        <v>2305</v>
      </c>
      <c r="C229" s="27" t="s">
        <v>1926</v>
      </c>
      <c r="D229" s="27">
        <v>35.450000000000003</v>
      </c>
      <c r="E229" s="27" t="str">
        <f>_xlfn.XLOOKUP(A229,Sheet1!A$2:A$800,Sheet1!G$2:G$800, "")</f>
        <v>Aerosol</v>
      </c>
      <c r="F229" s="27" t="s">
        <v>2316</v>
      </c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1:20" x14ac:dyDescent="0.25">
      <c r="A230" s="26" t="s">
        <v>1931</v>
      </c>
      <c r="B230" s="27" t="s">
        <v>2305</v>
      </c>
      <c r="C230" s="27" t="s">
        <v>1932</v>
      </c>
      <c r="D230" s="27">
        <v>35.450000000000003</v>
      </c>
      <c r="E230" s="27" t="str">
        <f>_xlfn.XLOOKUP(A230,Sheet1!A$2:A$800,Sheet1!G$2:G$800, "")</f>
        <v>Aerosol</v>
      </c>
      <c r="F230" s="27" t="s">
        <v>2316</v>
      </c>
    </row>
    <row r="231" spans="1:20" x14ac:dyDescent="0.25">
      <c r="A231" s="1" t="s">
        <v>699</v>
      </c>
      <c r="B231" t="s">
        <v>699</v>
      </c>
      <c r="C231" t="s">
        <v>700</v>
      </c>
      <c r="D231">
        <v>52.45</v>
      </c>
      <c r="E231" t="str">
        <f>_xlfn.XLOOKUP(A231,Sheet1!A$2:A$800,Sheet1!G$2:G$800, "")</f>
        <v>Gas</v>
      </c>
      <c r="F231" t="s">
        <v>702</v>
      </c>
    </row>
    <row r="232" spans="1:20" x14ac:dyDescent="0.25">
      <c r="A232" s="1" t="s">
        <v>987</v>
      </c>
      <c r="B232" t="s">
        <v>987</v>
      </c>
      <c r="C232" t="s">
        <v>988</v>
      </c>
      <c r="D232">
        <v>162.44999999999999</v>
      </c>
      <c r="E232" t="str">
        <f>_xlfn.XLOOKUP(A232,Sheet1!A$2:A$800,Sheet1!G$2:G$800, "")</f>
        <v>Gas</v>
      </c>
      <c r="F232" t="s">
        <v>990</v>
      </c>
    </row>
    <row r="233" spans="1:20" x14ac:dyDescent="0.25">
      <c r="A233" s="1" t="s">
        <v>450</v>
      </c>
      <c r="B233" t="s">
        <v>450</v>
      </c>
      <c r="C233" t="s">
        <v>451</v>
      </c>
      <c r="D233">
        <v>81.45</v>
      </c>
      <c r="E233" t="str">
        <f>_xlfn.XLOOKUP(A233,Sheet1!A$2:A$800,Sheet1!G$2:G$800, "")</f>
        <v>Gas</v>
      </c>
      <c r="F233" t="s">
        <v>453</v>
      </c>
    </row>
    <row r="234" spans="1:20" x14ac:dyDescent="0.25">
      <c r="A234" s="1" t="s">
        <v>454</v>
      </c>
      <c r="B234" t="s">
        <v>454</v>
      </c>
      <c r="C234" t="s">
        <v>455</v>
      </c>
      <c r="D234">
        <v>97.45</v>
      </c>
      <c r="E234" t="str">
        <f>_xlfn.XLOOKUP(A234,Sheet1!A$2:A$800,Sheet1!G$2:G$800, "")</f>
        <v>Gas</v>
      </c>
      <c r="F234" t="s">
        <v>457</v>
      </c>
    </row>
    <row r="235" spans="1:20" s="11" customFormat="1" x14ac:dyDescent="0.25">
      <c r="A235" s="1" t="s">
        <v>458</v>
      </c>
      <c r="B235" t="s">
        <v>458</v>
      </c>
      <c r="C235" t="s">
        <v>459</v>
      </c>
      <c r="D235">
        <v>51.45</v>
      </c>
      <c r="E235" t="str">
        <f>_xlfn.XLOOKUP(A235,Sheet1!A$2:A$800,Sheet1!G$2:G$800, "")</f>
        <v>Gas</v>
      </c>
      <c r="F235" t="s">
        <v>461</v>
      </c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1:20" x14ac:dyDescent="0.25">
      <c r="A236" s="1" t="s">
        <v>462</v>
      </c>
      <c r="B236" t="s">
        <v>462</v>
      </c>
      <c r="C236" t="s">
        <v>463</v>
      </c>
      <c r="D236">
        <v>67.45</v>
      </c>
      <c r="E236" t="str">
        <f>_xlfn.XLOOKUP(A236,Sheet1!A$2:A$800,Sheet1!G$2:G$800, "")</f>
        <v>Gas</v>
      </c>
      <c r="F236" t="s">
        <v>465</v>
      </c>
    </row>
    <row r="237" spans="1:20" s="7" customFormat="1" x14ac:dyDescent="0.25">
      <c r="A237" s="1" t="s">
        <v>1714</v>
      </c>
      <c r="B237" t="s">
        <v>1714</v>
      </c>
      <c r="C237" t="s">
        <v>463</v>
      </c>
      <c r="D237">
        <v>67.45</v>
      </c>
      <c r="E237" t="str">
        <f>_xlfn.XLOOKUP(A237,Sheet1!A$2:A$800,Sheet1!G$2:G$800, "")</f>
        <v>Gas</v>
      </c>
      <c r="F237" t="s">
        <v>465</v>
      </c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1:20" x14ac:dyDescent="0.25">
      <c r="A238" s="1" t="s">
        <v>345</v>
      </c>
      <c r="B238" t="s">
        <v>345</v>
      </c>
      <c r="C238" t="s">
        <v>346</v>
      </c>
      <c r="D238">
        <v>28.01</v>
      </c>
      <c r="E238" t="str">
        <f>_xlfn.XLOOKUP(A238,Sheet1!A$2:A$800,Sheet1!G$2:G$800, "")</f>
        <v>Gas</v>
      </c>
      <c r="F238" t="s">
        <v>348</v>
      </c>
    </row>
    <row r="239" spans="1:20" x14ac:dyDescent="0.25">
      <c r="A239" s="1" t="s">
        <v>349</v>
      </c>
      <c r="B239" t="s">
        <v>349</v>
      </c>
      <c r="C239" t="s">
        <v>350</v>
      </c>
      <c r="D239">
        <v>44.01</v>
      </c>
      <c r="E239" t="str">
        <f>_xlfn.XLOOKUP(A239,Sheet1!A$2:A$800,Sheet1!G$2:G$800, "")</f>
        <v>Gas</v>
      </c>
      <c r="F239" t="s">
        <v>352</v>
      </c>
    </row>
    <row r="240" spans="1:20" x14ac:dyDescent="0.25">
      <c r="A240" s="1" t="s">
        <v>1709</v>
      </c>
      <c r="B240" t="s">
        <v>1711</v>
      </c>
      <c r="C240" t="s">
        <v>1710</v>
      </c>
      <c r="D240">
        <v>60.07</v>
      </c>
      <c r="E240" t="str">
        <f>_xlfn.XLOOKUP(A240,Sheet1!A$2:A$800,Sheet1!G$2:G$800, "")</f>
        <v>Gas</v>
      </c>
      <c r="F240" t="s">
        <v>1713</v>
      </c>
    </row>
    <row r="241" spans="1:20" x14ac:dyDescent="0.25">
      <c r="A241" s="1" t="s">
        <v>580</v>
      </c>
      <c r="B241" t="s">
        <v>580</v>
      </c>
      <c r="C241" t="s">
        <v>581</v>
      </c>
      <c r="D241">
        <v>1.01</v>
      </c>
      <c r="E241" t="str">
        <f>_xlfn.XLOOKUP(A241,Sheet1!A$2:A$800,Sheet1!G$2:G$800, "")</f>
        <v>Gas</v>
      </c>
      <c r="F241" t="s">
        <v>2304</v>
      </c>
    </row>
    <row r="242" spans="1:20" s="7" customFormat="1" x14ac:dyDescent="0.25">
      <c r="A242" s="1" t="s">
        <v>594</v>
      </c>
      <c r="B242" t="s">
        <v>594</v>
      </c>
      <c r="C242" t="s">
        <v>595</v>
      </c>
      <c r="D242">
        <v>2.02</v>
      </c>
      <c r="E242" t="str">
        <f>_xlfn.XLOOKUP(A242,Sheet1!A$2:A$800,Sheet1!G$2:G$800)</f>
        <v>Gas</v>
      </c>
      <c r="F242" t="s">
        <v>597</v>
      </c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spans="1:20" x14ac:dyDescent="0.25">
      <c r="A243" s="1" t="s">
        <v>603</v>
      </c>
      <c r="B243" t="s">
        <v>603</v>
      </c>
      <c r="C243" t="s">
        <v>604</v>
      </c>
      <c r="D243">
        <v>18.02</v>
      </c>
      <c r="E243" t="str">
        <f>_xlfn.XLOOKUP(A243,Sheet1!A$2:A$800,Sheet1!G$2:G$800, "")</f>
        <v>Gas</v>
      </c>
      <c r="F243" t="s">
        <v>606</v>
      </c>
    </row>
    <row r="244" spans="1:20" s="9" customFormat="1" x14ac:dyDescent="0.25">
      <c r="A244" s="1" t="s">
        <v>607</v>
      </c>
      <c r="B244" t="s">
        <v>607</v>
      </c>
      <c r="C244" t="s">
        <v>608</v>
      </c>
      <c r="D244">
        <v>34.020000000000003</v>
      </c>
      <c r="E244" t="str">
        <f>_xlfn.XLOOKUP(A244,Sheet1!A$2:A$800,Sheet1!G$2:G$800, "")</f>
        <v>Gas</v>
      </c>
      <c r="F244" t="s">
        <v>610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1:20" s="9" customFormat="1" x14ac:dyDescent="0.25">
      <c r="A245" s="26" t="s">
        <v>2246</v>
      </c>
      <c r="B245" s="27" t="s">
        <v>1940</v>
      </c>
      <c r="C245" s="27" t="s">
        <v>2247</v>
      </c>
      <c r="D245" s="27">
        <v>96.06</v>
      </c>
      <c r="E245" s="27" t="s">
        <v>36</v>
      </c>
      <c r="F245" s="27" t="s">
        <v>1820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1:20" x14ac:dyDescent="0.25">
      <c r="A246" s="26" t="s">
        <v>2265</v>
      </c>
      <c r="B246" s="27" t="s">
        <v>1940</v>
      </c>
      <c r="C246" s="27" t="s">
        <v>2266</v>
      </c>
      <c r="D246" s="27">
        <v>96.06</v>
      </c>
      <c r="E246" s="27" t="s">
        <v>36</v>
      </c>
      <c r="F246" s="27" t="s">
        <v>1820</v>
      </c>
    </row>
    <row r="247" spans="1:20" x14ac:dyDescent="0.25">
      <c r="A247" s="26" t="s">
        <v>1940</v>
      </c>
      <c r="B247" s="21" t="s">
        <v>1940</v>
      </c>
      <c r="C247" s="21" t="s">
        <v>1941</v>
      </c>
      <c r="D247" s="21">
        <v>96.06</v>
      </c>
      <c r="E247" s="21" t="str">
        <f>_xlfn.XLOOKUP(A247,Sheet1!A$2:A$800,Sheet1!G$2:G$800, "")</f>
        <v>Aerosol</v>
      </c>
      <c r="F247" s="21" t="s">
        <v>1820</v>
      </c>
    </row>
    <row r="248" spans="1:20" x14ac:dyDescent="0.25">
      <c r="A248" s="26" t="s">
        <v>1956</v>
      </c>
      <c r="B248" s="21" t="s">
        <v>1940</v>
      </c>
      <c r="C248" s="21" t="s">
        <v>1957</v>
      </c>
      <c r="D248" s="21">
        <v>31.4</v>
      </c>
      <c r="E248" s="21" t="str">
        <f>_xlfn.XLOOKUP(A248,Sheet1!A$2:A$800,Sheet1!G$2:G$800, "")</f>
        <v>Aerosol</v>
      </c>
      <c r="F248" s="21" t="s">
        <v>1820</v>
      </c>
    </row>
    <row r="249" spans="1:20" x14ac:dyDescent="0.25">
      <c r="A249" s="1" t="s">
        <v>662</v>
      </c>
      <c r="B249" t="s">
        <v>662</v>
      </c>
      <c r="C249" t="s">
        <v>663</v>
      </c>
      <c r="D249">
        <v>127.91</v>
      </c>
      <c r="E249" t="str">
        <f>_xlfn.XLOOKUP(A249,Sheet1!A$2:A$800,Sheet1!G$2:G$800, "")</f>
        <v>Gas</v>
      </c>
      <c r="F249" t="s">
        <v>664</v>
      </c>
    </row>
    <row r="250" spans="1:20" s="3" customFormat="1" x14ac:dyDescent="0.25">
      <c r="A250" s="26" t="s">
        <v>32</v>
      </c>
      <c r="B250" s="21" t="s">
        <v>2307</v>
      </c>
      <c r="C250" s="21" t="s">
        <v>33</v>
      </c>
      <c r="D250" s="21">
        <v>126.9</v>
      </c>
      <c r="E250" s="21" t="str">
        <f>_xlfn.XLOOKUP(A250,Sheet1!A$2:A$800,Sheet1!G$2:G$800, "")</f>
        <v>Aerosol</v>
      </c>
      <c r="F250" s="21" t="s">
        <v>2298</v>
      </c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spans="1:20" s="3" customFormat="1" x14ac:dyDescent="0.25">
      <c r="A251" s="26" t="s">
        <v>1185</v>
      </c>
      <c r="B251" s="21" t="s">
        <v>2307</v>
      </c>
      <c r="C251" s="21" t="s">
        <v>1186</v>
      </c>
      <c r="D251" s="21">
        <v>126.9</v>
      </c>
      <c r="E251" s="21" t="str">
        <f>_xlfn.XLOOKUP(A251,Sheet1!A$2:A$800,Sheet1!G$2:G$800, "")</f>
        <v>Aerosol</v>
      </c>
      <c r="F251" s="21" t="s">
        <v>2298</v>
      </c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spans="1:20" s="3" customFormat="1" x14ac:dyDescent="0.25">
      <c r="A252" s="26" t="s">
        <v>1187</v>
      </c>
      <c r="B252" s="21" t="s">
        <v>2307</v>
      </c>
      <c r="C252" s="21" t="s">
        <v>1188</v>
      </c>
      <c r="D252" s="21">
        <v>126.9</v>
      </c>
      <c r="E252" s="21" t="str">
        <f>_xlfn.XLOOKUP(A252,Sheet1!A$2:A$800,Sheet1!G$2:G$800, "")</f>
        <v>Aerosol</v>
      </c>
      <c r="F252" s="21" t="s">
        <v>2298</v>
      </c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spans="1:20" x14ac:dyDescent="0.25">
      <c r="A253" s="1" t="s">
        <v>703</v>
      </c>
      <c r="B253" t="s">
        <v>703</v>
      </c>
      <c r="C253" t="s">
        <v>704</v>
      </c>
      <c r="D253">
        <v>143.88999999999999</v>
      </c>
      <c r="E253" t="str">
        <f>_xlfn.XLOOKUP(A253,Sheet1!A$2:A$800,Sheet1!G$2:G$800, "")</f>
        <v>Gas</v>
      </c>
      <c r="F253" t="s">
        <v>706</v>
      </c>
    </row>
    <row r="254" spans="1:20" x14ac:dyDescent="0.25">
      <c r="A254" s="1" t="s">
        <v>679</v>
      </c>
      <c r="B254" t="s">
        <v>679</v>
      </c>
      <c r="C254" t="s">
        <v>680</v>
      </c>
      <c r="D254">
        <v>47.01</v>
      </c>
      <c r="E254" t="str">
        <f>_xlfn.XLOOKUP(A254,Sheet1!A$2:A$800,Sheet1!G$2:G$800, "")</f>
        <v>Gas</v>
      </c>
      <c r="F254" t="s">
        <v>682</v>
      </c>
    </row>
    <row r="255" spans="1:20" x14ac:dyDescent="0.25">
      <c r="A255" s="1" t="s">
        <v>683</v>
      </c>
      <c r="B255" t="s">
        <v>683</v>
      </c>
      <c r="C255" t="s">
        <v>684</v>
      </c>
      <c r="D255">
        <v>63.01</v>
      </c>
      <c r="E255" t="str">
        <f>_xlfn.XLOOKUP(A255,Sheet1!A$2:A$800,Sheet1!G$2:G$800, "")</f>
        <v>Gas</v>
      </c>
      <c r="F255" t="s">
        <v>686</v>
      </c>
    </row>
    <row r="256" spans="1:20" x14ac:dyDescent="0.25">
      <c r="A256" s="1" t="s">
        <v>687</v>
      </c>
      <c r="B256" t="s">
        <v>687</v>
      </c>
      <c r="C256" t="s">
        <v>688</v>
      </c>
      <c r="D256">
        <v>79.010000000000005</v>
      </c>
      <c r="E256" t="str">
        <f>_xlfn.XLOOKUP(A256,Sheet1!A$2:A$800,Sheet1!G$2:G$800, "")</f>
        <v>Gas</v>
      </c>
      <c r="F256" t="s">
        <v>690</v>
      </c>
    </row>
    <row r="257" spans="1:20" s="7" customFormat="1" x14ac:dyDescent="0.25">
      <c r="A257" s="1" t="s">
        <v>1715</v>
      </c>
      <c r="B257" t="s">
        <v>1715</v>
      </c>
      <c r="C257" t="s">
        <v>1716</v>
      </c>
      <c r="D257">
        <v>17.010000000000002</v>
      </c>
      <c r="E257" t="str">
        <f>_xlfn.XLOOKUP(A257,Sheet1!A$2:A$800,Sheet1!G$2:G$800, "")</f>
        <v>Gas</v>
      </c>
      <c r="F257" t="s">
        <v>1718</v>
      </c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spans="1:20" s="7" customFormat="1" x14ac:dyDescent="0.25">
      <c r="A258" s="1" t="s">
        <v>691</v>
      </c>
      <c r="B258" t="s">
        <v>691</v>
      </c>
      <c r="C258" t="s">
        <v>692</v>
      </c>
      <c r="D258">
        <v>33.01</v>
      </c>
      <c r="E258" t="str">
        <f>_xlfn.XLOOKUP(A258,Sheet1!A$2:A$800,Sheet1!G$2:G$800, "")</f>
        <v>Gas</v>
      </c>
      <c r="F258" t="s">
        <v>694</v>
      </c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spans="1:20" x14ac:dyDescent="0.25">
      <c r="A259" s="1" t="s">
        <v>34</v>
      </c>
      <c r="B259" t="s">
        <v>34</v>
      </c>
      <c r="C259" t="s">
        <v>932</v>
      </c>
      <c r="D259">
        <v>126.9</v>
      </c>
      <c r="E259" t="str">
        <f>_xlfn.XLOOKUP(A259,Sheet1!A$2:A$800,Sheet1!G$2:G$800, "")</f>
        <v>Gas</v>
      </c>
      <c r="F259" t="s">
        <v>934</v>
      </c>
    </row>
    <row r="260" spans="1:20" x14ac:dyDescent="0.25">
      <c r="A260" s="1" t="s">
        <v>935</v>
      </c>
      <c r="B260" t="s">
        <v>935</v>
      </c>
      <c r="C260" t="s">
        <v>936</v>
      </c>
      <c r="D260">
        <v>253.8</v>
      </c>
      <c r="E260" t="str">
        <f>_xlfn.XLOOKUP(A260,Sheet1!A$2:A$800,Sheet1!G$2:G$800, "")</f>
        <v>Gas</v>
      </c>
      <c r="F260" t="s">
        <v>938</v>
      </c>
    </row>
    <row r="261" spans="1:20" s="11" customFormat="1" x14ac:dyDescent="0.25">
      <c r="A261" s="1" t="s">
        <v>939</v>
      </c>
      <c r="B261" t="s">
        <v>939</v>
      </c>
      <c r="C261" t="s">
        <v>940</v>
      </c>
      <c r="D261">
        <v>285.8</v>
      </c>
      <c r="E261" t="str">
        <f>_xlfn.XLOOKUP(A261,Sheet1!A$2:A$800,Sheet1!G$2:G$800, "")</f>
        <v>Gas</v>
      </c>
      <c r="F261" t="s">
        <v>942</v>
      </c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spans="1:20" s="11" customFormat="1" x14ac:dyDescent="0.25">
      <c r="A262" s="1" t="s">
        <v>943</v>
      </c>
      <c r="B262" t="s">
        <v>943</v>
      </c>
      <c r="C262" t="s">
        <v>944</v>
      </c>
      <c r="D262">
        <v>301.8</v>
      </c>
      <c r="E262" t="str">
        <f>_xlfn.XLOOKUP(A262,Sheet1!A$2:A$800,Sheet1!G$2:G$800, "")</f>
        <v>Gas</v>
      </c>
      <c r="F262" t="s">
        <v>946</v>
      </c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spans="1:20" x14ac:dyDescent="0.25">
      <c r="A263" s="1" t="s">
        <v>947</v>
      </c>
      <c r="B263" t="s">
        <v>947</v>
      </c>
      <c r="C263" t="s">
        <v>948</v>
      </c>
      <c r="D263">
        <v>317.8</v>
      </c>
      <c r="E263" t="str">
        <f>_xlfn.XLOOKUP(A263,Sheet1!A$2:A$800,Sheet1!G$2:G$800, "")</f>
        <v>Gas</v>
      </c>
      <c r="F263" t="s">
        <v>950</v>
      </c>
    </row>
    <row r="264" spans="1:20" x14ac:dyDescent="0.25">
      <c r="A264" s="18" t="s">
        <v>1125</v>
      </c>
      <c r="B264" s="19" t="s">
        <v>1125</v>
      </c>
      <c r="C264" s="19" t="s">
        <v>2172</v>
      </c>
      <c r="D264" s="19">
        <v>156.91</v>
      </c>
      <c r="E264" t="str">
        <f>_xlfn.XLOOKUP(A264,Sheet1!A$2:A$800,Sheet1!G$2:G$800, "")</f>
        <v>Gas</v>
      </c>
      <c r="F264" s="19" t="s">
        <v>2315</v>
      </c>
    </row>
    <row r="265" spans="1:20" x14ac:dyDescent="0.25">
      <c r="A265" s="1" t="s">
        <v>1168</v>
      </c>
      <c r="B265" t="s">
        <v>1168</v>
      </c>
      <c r="C265" t="s">
        <v>1169</v>
      </c>
      <c r="D265">
        <v>172.91</v>
      </c>
      <c r="E265" t="str">
        <f>_xlfn.XLOOKUP(A265,Sheet1!A$2:A$800,Sheet1!G$2:G$800, "")</f>
        <v>Gas</v>
      </c>
      <c r="F265" t="s">
        <v>1171</v>
      </c>
    </row>
    <row r="266" spans="1:20" x14ac:dyDescent="0.25">
      <c r="A266" s="1" t="s">
        <v>1172</v>
      </c>
      <c r="B266" t="s">
        <v>1172</v>
      </c>
      <c r="C266" t="s">
        <v>1173</v>
      </c>
      <c r="D266">
        <v>188.91</v>
      </c>
      <c r="E266" t="str">
        <f>_xlfn.XLOOKUP(A266,Sheet1!A$2:A$800,Sheet1!G$2:G$800, "")</f>
        <v>Gas</v>
      </c>
      <c r="F266" t="s">
        <v>1175</v>
      </c>
    </row>
    <row r="267" spans="1:20" s="9" customFormat="1" x14ac:dyDescent="0.25">
      <c r="A267" s="1" t="s">
        <v>1158</v>
      </c>
      <c r="B267" t="s">
        <v>1158</v>
      </c>
      <c r="C267" t="s">
        <v>1159</v>
      </c>
      <c r="D267">
        <v>142.9</v>
      </c>
      <c r="E267" t="str">
        <f>_xlfn.XLOOKUP(A267,Sheet1!A$2:A$800,Sheet1!G$2:G$800, "")</f>
        <v>Gas</v>
      </c>
      <c r="F267" t="s">
        <v>1161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1:20" x14ac:dyDescent="0.25">
      <c r="A268" s="1" t="s">
        <v>1719</v>
      </c>
      <c r="B268" t="s">
        <v>1719</v>
      </c>
      <c r="C268" t="s">
        <v>1720</v>
      </c>
      <c r="D268">
        <v>158.9</v>
      </c>
      <c r="E268" t="str">
        <f>_xlfn.XLOOKUP(A268,Sheet1!A$2:A$800,Sheet1!G$2:G$800, "")</f>
        <v>Gas</v>
      </c>
      <c r="F268" t="s">
        <v>1722</v>
      </c>
    </row>
    <row r="269" spans="1:20" x14ac:dyDescent="0.25">
      <c r="A269" s="1" t="s">
        <v>1567</v>
      </c>
      <c r="B269" t="s">
        <v>1567</v>
      </c>
      <c r="C269" t="s">
        <v>1568</v>
      </c>
      <c r="D269">
        <v>14.01</v>
      </c>
      <c r="E269" t="str">
        <f>_xlfn.XLOOKUP(A269,Sheet1!A$2:A$800,Sheet1!G$2:G$800, "")</f>
        <v>Gas</v>
      </c>
      <c r="F269" t="s">
        <v>1570</v>
      </c>
    </row>
    <row r="270" spans="1:20" x14ac:dyDescent="0.25">
      <c r="A270" s="1" t="s">
        <v>1571</v>
      </c>
      <c r="B270" t="s">
        <v>1571</v>
      </c>
      <c r="C270" t="s">
        <v>1572</v>
      </c>
      <c r="D270">
        <v>28.02</v>
      </c>
      <c r="E270" t="str">
        <f>_xlfn.XLOOKUP(A270,Sheet1!A$2:A$800,Sheet1!G$2:G$800, "")</f>
        <v>Gas</v>
      </c>
      <c r="F270" t="s">
        <v>1574</v>
      </c>
    </row>
    <row r="271" spans="1:20" x14ac:dyDescent="0.25">
      <c r="A271" s="1" t="s">
        <v>1575</v>
      </c>
      <c r="B271" t="s">
        <v>1575</v>
      </c>
      <c r="C271" t="s">
        <v>1576</v>
      </c>
      <c r="D271">
        <v>44.02</v>
      </c>
      <c r="E271" t="str">
        <f>_xlfn.XLOOKUP(A271,Sheet1!A$2:A$800,Sheet1!G$2:G$800, "")</f>
        <v>Gas</v>
      </c>
      <c r="F271" t="s">
        <v>1578</v>
      </c>
    </row>
    <row r="272" spans="1:20" x14ac:dyDescent="0.25">
      <c r="A272" s="1" t="s">
        <v>1579</v>
      </c>
      <c r="B272" t="s">
        <v>1579</v>
      </c>
      <c r="C272" t="s">
        <v>1580</v>
      </c>
      <c r="D272">
        <v>108.02</v>
      </c>
      <c r="E272" t="str">
        <f>_xlfn.XLOOKUP(A272,Sheet1!A$2:A$800,Sheet1!G$2:G$800, "")</f>
        <v>Gas</v>
      </c>
      <c r="F272" t="s">
        <v>1582</v>
      </c>
    </row>
    <row r="273" spans="1:20" x14ac:dyDescent="0.25">
      <c r="A273" s="1" t="s">
        <v>1610</v>
      </c>
      <c r="B273" t="s">
        <v>1610</v>
      </c>
      <c r="C273" t="s">
        <v>1611</v>
      </c>
      <c r="D273">
        <v>30.01</v>
      </c>
      <c r="E273" t="str">
        <f>_xlfn.XLOOKUP(A273,Sheet1!A$2:A$800,Sheet1!G$2:G$800, "")</f>
        <v>Gas</v>
      </c>
      <c r="F273" t="s">
        <v>1613</v>
      </c>
    </row>
    <row r="274" spans="1:20" x14ac:dyDescent="0.25">
      <c r="A274" s="1" t="s">
        <v>1614</v>
      </c>
      <c r="B274" t="s">
        <v>1614</v>
      </c>
      <c r="C274" t="s">
        <v>1615</v>
      </c>
      <c r="D274">
        <v>46.01</v>
      </c>
      <c r="E274" t="str">
        <f>_xlfn.XLOOKUP(A274,Sheet1!A$2:A$800,Sheet1!G$2:G$800, "")</f>
        <v>Gas</v>
      </c>
      <c r="F274" t="s">
        <v>1617</v>
      </c>
    </row>
    <row r="275" spans="1:20" x14ac:dyDescent="0.25">
      <c r="A275" s="26" t="s">
        <v>1595</v>
      </c>
      <c r="B275" s="21" t="s">
        <v>2306</v>
      </c>
      <c r="C275" s="21" t="s">
        <v>1596</v>
      </c>
      <c r="D275" s="21">
        <v>62.01</v>
      </c>
      <c r="E275" s="21" t="str">
        <f>_xlfn.XLOOKUP(A275,Sheet1!A$2:A$800,Sheet1!G$2:G$800, "")</f>
        <v>Aerosol</v>
      </c>
      <c r="F275" s="21" t="s">
        <v>1599</v>
      </c>
    </row>
    <row r="276" spans="1:20" x14ac:dyDescent="0.25">
      <c r="A276" s="26" t="s">
        <v>1608</v>
      </c>
      <c r="B276" s="21" t="s">
        <v>2306</v>
      </c>
      <c r="C276" s="21" t="s">
        <v>1609</v>
      </c>
      <c r="D276" s="21">
        <v>31.4</v>
      </c>
      <c r="E276" s="21" t="str">
        <f>_xlfn.XLOOKUP(A276,Sheet1!A$2:A$800,Sheet1!G$2:G$800, "")</f>
        <v>Aerosol</v>
      </c>
      <c r="F276" s="21" t="s">
        <v>1599</v>
      </c>
    </row>
    <row r="277" spans="1:20" s="7" customFormat="1" x14ac:dyDescent="0.25">
      <c r="A277" s="1" t="s">
        <v>1597</v>
      </c>
      <c r="B277" t="s">
        <v>1597</v>
      </c>
      <c r="C277" t="s">
        <v>1618</v>
      </c>
      <c r="D277">
        <v>62.01</v>
      </c>
      <c r="E277" t="str">
        <f>_xlfn.XLOOKUP(A277,Sheet1!A$2:A$800,Sheet1!G$2:G$800, "")</f>
        <v>Gas</v>
      </c>
      <c r="F277" t="s">
        <v>1620</v>
      </c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spans="1:20" x14ac:dyDescent="0.25">
      <c r="A278" s="1" t="s">
        <v>605</v>
      </c>
      <c r="B278" t="s">
        <v>1643</v>
      </c>
      <c r="C278" t="s">
        <v>1642</v>
      </c>
      <c r="D278">
        <v>16</v>
      </c>
      <c r="E278" t="str">
        <f>_xlfn.XLOOKUP(A278,Sheet1!A$2:A$800,Sheet1!G$2:G$800, "")</f>
        <v>Gas</v>
      </c>
      <c r="F278" t="s">
        <v>1645</v>
      </c>
    </row>
    <row r="279" spans="1:20" x14ac:dyDescent="0.25">
      <c r="A279" s="1" t="s">
        <v>1649</v>
      </c>
      <c r="B279" t="s">
        <v>1649</v>
      </c>
      <c r="C279" t="s">
        <v>1650</v>
      </c>
      <c r="D279">
        <v>32</v>
      </c>
      <c r="E279" t="str">
        <f>_xlfn.XLOOKUP(A279,Sheet1!A$2:A$800,Sheet1!G$2:G$800, "")</f>
        <v>Gas</v>
      </c>
      <c r="F279" t="s">
        <v>1652</v>
      </c>
    </row>
    <row r="280" spans="1:20" x14ac:dyDescent="0.25">
      <c r="A280" s="1" t="s">
        <v>1933</v>
      </c>
      <c r="B280" t="s">
        <v>1933</v>
      </c>
      <c r="C280" t="s">
        <v>1934</v>
      </c>
      <c r="D280">
        <v>64.040000000000006</v>
      </c>
      <c r="E280" t="str">
        <f>_xlfn.XLOOKUP(A280,Sheet1!A$2:A$800,Sheet1!G$2:G$800, "")</f>
        <v>Gas</v>
      </c>
      <c r="F280" t="s">
        <v>1936</v>
      </c>
    </row>
    <row r="281" spans="1:20" s="9" customFormat="1" x14ac:dyDescent="0.25">
      <c r="A281" s="1" t="s">
        <v>1653</v>
      </c>
      <c r="B281" t="s">
        <v>1653</v>
      </c>
      <c r="C281" t="s">
        <v>1654</v>
      </c>
      <c r="D281">
        <v>48</v>
      </c>
      <c r="E281" t="str">
        <f>_xlfn.XLOOKUP(A281,Sheet1!A$2:A$800,Sheet1!G$2:G$800, "")</f>
        <v>Gas</v>
      </c>
      <c r="F281" t="s">
        <v>1656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1:20" x14ac:dyDescent="0.25">
      <c r="A282" s="28" t="s">
        <v>47</v>
      </c>
      <c r="B282" s="29" t="s">
        <v>49</v>
      </c>
      <c r="C282" s="29" t="s">
        <v>48</v>
      </c>
      <c r="D282" s="29">
        <v>189.12</v>
      </c>
      <c r="E282" s="21" t="str">
        <f>_xlfn.XLOOKUP(A282,Sheet1!A$2:A$800,Sheet1!G$2:G$800, "")</f>
        <v>Aerosol</v>
      </c>
      <c r="F282" s="29" t="s">
        <v>2318</v>
      </c>
    </row>
    <row r="283" spans="1:20" x14ac:dyDescent="0.25">
      <c r="A283" s="28" t="s">
        <v>1126</v>
      </c>
      <c r="B283" s="29"/>
      <c r="C283" s="29" t="s">
        <v>1127</v>
      </c>
      <c r="D283" s="29">
        <v>102</v>
      </c>
      <c r="E283" s="21" t="str">
        <f>_xlfn.XLOOKUP(A283,Sheet1!A$2:A$800,Sheet1!G$2:G$800, "")</f>
        <v>Aerosol</v>
      </c>
      <c r="F283" s="29" t="s">
        <v>2318</v>
      </c>
    </row>
    <row r="284" spans="1:20" x14ac:dyDescent="0.25">
      <c r="A284" s="28" t="s">
        <v>1294</v>
      </c>
      <c r="B284" s="29" t="s">
        <v>1293</v>
      </c>
      <c r="C284" s="29" t="s">
        <v>1295</v>
      </c>
      <c r="D284" s="29">
        <v>154.19</v>
      </c>
      <c r="E284" s="21" t="str">
        <f>_xlfn.XLOOKUP(A284,Sheet1!A$2:A$800,Sheet1!G$2:G$800, "")</f>
        <v>Aerosol</v>
      </c>
      <c r="F284" s="29" t="s">
        <v>2318</v>
      </c>
    </row>
    <row r="285" spans="1:20" x14ac:dyDescent="0.25">
      <c r="A285" s="4" t="s">
        <v>1876</v>
      </c>
      <c r="B285" s="7" t="s">
        <v>1878</v>
      </c>
      <c r="C285" s="7" t="s">
        <v>1877</v>
      </c>
      <c r="D285" s="7">
        <v>74.09</v>
      </c>
      <c r="E285" s="7" t="str">
        <f>_xlfn.XLOOKUP(A285,Sheet1!A$2:A$800,Sheet1!G$2:G$800, "")</f>
        <v>Gas</v>
      </c>
      <c r="F285" s="7" t="s">
        <v>1879</v>
      </c>
    </row>
    <row r="286" spans="1:20" x14ac:dyDescent="0.25">
      <c r="A286" s="28" t="s">
        <v>1923</v>
      </c>
      <c r="B286" s="29" t="s">
        <v>2305</v>
      </c>
      <c r="C286" s="29" t="s">
        <v>1924</v>
      </c>
      <c r="D286" s="29">
        <v>31.4</v>
      </c>
      <c r="E286" s="29" t="str">
        <f>_xlfn.XLOOKUP(A286,Sheet1!A$2:A$800,Sheet1!G$2:G$800, "")</f>
        <v>Aerosol</v>
      </c>
      <c r="F286" s="29" t="s">
        <v>35</v>
      </c>
    </row>
    <row r="287" spans="1:20" s="7" customFormat="1" x14ac:dyDescent="0.25">
      <c r="A287" s="28" t="s">
        <v>1929</v>
      </c>
      <c r="B287" s="29" t="s">
        <v>2305</v>
      </c>
      <c r="C287" s="29" t="s">
        <v>1930</v>
      </c>
      <c r="D287" s="29">
        <v>31.4</v>
      </c>
      <c r="E287" s="29" t="str">
        <f>_xlfn.XLOOKUP(A287,Sheet1!A$2:A$800,Sheet1!G$2:G$800, "")</f>
        <v>Aerosol</v>
      </c>
      <c r="F287" s="29" t="s">
        <v>35</v>
      </c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spans="1:20" s="7" customFormat="1" x14ac:dyDescent="0.25">
      <c r="A288" s="12" t="s">
        <v>1277</v>
      </c>
      <c r="B288" s="13"/>
      <c r="C288" s="13" t="s">
        <v>1278</v>
      </c>
      <c r="D288" s="13">
        <v>68.13</v>
      </c>
      <c r="E288" t="str">
        <f>_xlfn.XLOOKUP(A288,Sheet1!A$2:A$800,Sheet1!G$2:G$800, "")</f>
        <v>Gas</v>
      </c>
      <c r="F288" s="13" t="s">
        <v>35</v>
      </c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spans="1:20" s="7" customFormat="1" x14ac:dyDescent="0.25">
      <c r="A289" s="12" t="s">
        <v>1279</v>
      </c>
      <c r="B289" s="13"/>
      <c r="C289" s="13" t="s">
        <v>1280</v>
      </c>
      <c r="D289" s="13">
        <v>68.13</v>
      </c>
      <c r="E289" t="str">
        <f>_xlfn.XLOOKUP(A289,Sheet1!A$2:A$800,Sheet1!G$2:G$800, "")</f>
        <v>Gas</v>
      </c>
      <c r="F289" s="13" t="s">
        <v>35</v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spans="1:20" x14ac:dyDescent="0.25">
      <c r="A290" s="12" t="s">
        <v>1281</v>
      </c>
      <c r="B290" s="13"/>
      <c r="C290" s="13" t="s">
        <v>1282</v>
      </c>
      <c r="D290" s="13">
        <v>159.16999999999999</v>
      </c>
      <c r="E290" t="str">
        <f>_xlfn.XLOOKUP(A290,Sheet1!A$2:A$800,Sheet1!G$2:G$800, "")</f>
        <v>Gas</v>
      </c>
      <c r="F290" s="13" t="s">
        <v>35</v>
      </c>
    </row>
    <row r="291" spans="1:20" s="9" customFormat="1" x14ac:dyDescent="0.25">
      <c r="A291" s="12" t="s">
        <v>1283</v>
      </c>
      <c r="B291" s="13"/>
      <c r="C291" s="13" t="s">
        <v>1284</v>
      </c>
      <c r="D291" s="13">
        <v>159.16999999999999</v>
      </c>
      <c r="E291" t="str">
        <f>_xlfn.XLOOKUP(A291,Sheet1!A$2:A$800,Sheet1!G$2:G$800, "")</f>
        <v>Gas</v>
      </c>
      <c r="F291" s="13" t="s">
        <v>35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1:20" s="9" customFormat="1" x14ac:dyDescent="0.25">
      <c r="A292" s="12" t="s">
        <v>1287</v>
      </c>
      <c r="B292" s="13"/>
      <c r="C292" s="13" t="s">
        <v>1288</v>
      </c>
      <c r="D292" s="13">
        <v>173.16</v>
      </c>
      <c r="E292" t="str">
        <f>_xlfn.XLOOKUP(A292,Sheet1!A$2:A$800,Sheet1!G$2:G$800, "")</f>
        <v>Gas</v>
      </c>
      <c r="F292" s="13" t="s">
        <v>35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1:20" x14ac:dyDescent="0.25">
      <c r="A293" s="12" t="s">
        <v>1289</v>
      </c>
      <c r="B293" s="13"/>
      <c r="C293" s="13" t="s">
        <v>1290</v>
      </c>
      <c r="D293" s="13">
        <v>173.16</v>
      </c>
      <c r="E293" t="str">
        <f>_xlfn.XLOOKUP(A293,Sheet1!A$2:A$800,Sheet1!G$2:G$800, "")</f>
        <v>Gas</v>
      </c>
      <c r="F293" s="13" t="s">
        <v>35</v>
      </c>
    </row>
    <row r="294" spans="1:20" s="16" customFormat="1" x14ac:dyDescent="0.25">
      <c r="A294" s="12" t="s">
        <v>1296</v>
      </c>
      <c r="B294" s="13"/>
      <c r="C294" s="13" t="s">
        <v>1297</v>
      </c>
      <c r="D294" s="13">
        <v>187.19</v>
      </c>
      <c r="E294" t="str">
        <f>_xlfn.XLOOKUP(A294,Sheet1!A$2:A$800,Sheet1!G$2:G$800, "")</f>
        <v>Gas</v>
      </c>
      <c r="F294" s="13" t="s">
        <v>35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1:20" s="14" customFormat="1" x14ac:dyDescent="0.25">
      <c r="A295" s="12" t="s">
        <v>1298</v>
      </c>
      <c r="B295" s="13"/>
      <c r="C295" s="13" t="s">
        <v>1299</v>
      </c>
      <c r="D295" s="13">
        <v>187.19</v>
      </c>
      <c r="E295" t="str">
        <f>_xlfn.XLOOKUP(A295,Sheet1!A$2:A$800,Sheet1!G$2:G$800, "")</f>
        <v>Gas</v>
      </c>
      <c r="F295" s="13" t="s">
        <v>35</v>
      </c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</row>
    <row r="296" spans="1:20" s="9" customFormat="1" x14ac:dyDescent="0.25">
      <c r="A296" s="10" t="s">
        <v>2037</v>
      </c>
      <c r="B296" s="16" t="s">
        <v>2038</v>
      </c>
      <c r="C296" s="16" t="s">
        <v>2039</v>
      </c>
      <c r="D296" s="16">
        <v>87.054000000000002</v>
      </c>
      <c r="E296" s="16" t="s">
        <v>18</v>
      </c>
      <c r="F296" s="16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1:20" s="14" customFormat="1" x14ac:dyDescent="0.25">
      <c r="A297" s="10" t="s">
        <v>2043</v>
      </c>
      <c r="B297" s="16" t="s">
        <v>2044</v>
      </c>
      <c r="C297" s="16" t="s">
        <v>2045</v>
      </c>
      <c r="D297" s="16">
        <v>105.07</v>
      </c>
      <c r="E297" s="16" t="s">
        <v>18</v>
      </c>
      <c r="F297" s="16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</row>
    <row r="298" spans="1:20" s="14" customFormat="1" x14ac:dyDescent="0.25">
      <c r="A298" s="10" t="s">
        <v>2047</v>
      </c>
      <c r="B298" s="16" t="s">
        <v>1836</v>
      </c>
      <c r="C298" s="16" t="s">
        <v>2048</v>
      </c>
      <c r="D298" s="16">
        <v>150.13</v>
      </c>
      <c r="E298" s="16" t="s">
        <v>18</v>
      </c>
      <c r="F298" s="16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</row>
    <row r="299" spans="1:20" s="9" customFormat="1" x14ac:dyDescent="0.25">
      <c r="A299" s="10" t="s">
        <v>2049</v>
      </c>
      <c r="B299" s="16" t="s">
        <v>1840</v>
      </c>
      <c r="C299" s="16" t="s">
        <v>2050</v>
      </c>
      <c r="D299" s="16">
        <v>119.1</v>
      </c>
      <c r="E299" s="16" t="s">
        <v>18</v>
      </c>
      <c r="F299" s="16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1:20" s="7" customFormat="1" x14ac:dyDescent="0.25">
      <c r="A300" s="10" t="s">
        <v>2051</v>
      </c>
      <c r="B300" s="16" t="s">
        <v>1845</v>
      </c>
      <c r="C300" s="16" t="s">
        <v>1844</v>
      </c>
      <c r="D300" s="16">
        <v>89.13</v>
      </c>
      <c r="E300" s="16" t="s">
        <v>18</v>
      </c>
      <c r="F300" s="16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spans="1:20" s="7" customFormat="1" x14ac:dyDescent="0.25">
      <c r="A301" s="10" t="s">
        <v>2052</v>
      </c>
      <c r="B301" s="16" t="s">
        <v>1849</v>
      </c>
      <c r="C301" s="16" t="s">
        <v>2053</v>
      </c>
      <c r="D301" s="16">
        <v>90.14</v>
      </c>
      <c r="E301" s="16" t="s">
        <v>18</v>
      </c>
      <c r="F301" s="16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spans="1:20" x14ac:dyDescent="0.25">
      <c r="A302" s="10" t="s">
        <v>2054</v>
      </c>
      <c r="B302" s="16" t="s">
        <v>2055</v>
      </c>
      <c r="C302" s="16" t="s">
        <v>2056</v>
      </c>
      <c r="D302" s="16">
        <v>100.2</v>
      </c>
      <c r="E302" s="16" t="s">
        <v>18</v>
      </c>
      <c r="F302" s="16"/>
    </row>
    <row r="303" spans="1:20" x14ac:dyDescent="0.25">
      <c r="A303" s="8" t="s">
        <v>2057</v>
      </c>
      <c r="B303" s="9" t="s">
        <v>2058</v>
      </c>
      <c r="C303" s="9" t="s">
        <v>2059</v>
      </c>
      <c r="D303" s="9">
        <v>133.06</v>
      </c>
      <c r="E303" s="9" t="s">
        <v>18</v>
      </c>
      <c r="F303" s="9"/>
    </row>
    <row r="304" spans="1:20" s="7" customFormat="1" x14ac:dyDescent="0.25">
      <c r="A304" s="10" t="s">
        <v>2060</v>
      </c>
      <c r="B304" s="16" t="s">
        <v>1457</v>
      </c>
      <c r="C304" s="16" t="s">
        <v>2061</v>
      </c>
      <c r="D304" s="16">
        <v>215.28</v>
      </c>
      <c r="E304" s="16" t="s">
        <v>18</v>
      </c>
      <c r="F304" s="16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spans="1:20" x14ac:dyDescent="0.25">
      <c r="A305" s="10" t="s">
        <v>2062</v>
      </c>
      <c r="B305" s="16" t="s">
        <v>1273</v>
      </c>
      <c r="C305" s="16" t="s">
        <v>2063</v>
      </c>
      <c r="D305" s="16">
        <v>185.27</v>
      </c>
      <c r="E305" s="16" t="s">
        <v>18</v>
      </c>
      <c r="F305" s="16"/>
    </row>
    <row r="306" spans="1:20" x14ac:dyDescent="0.25">
      <c r="A306" s="10" t="s">
        <v>2064</v>
      </c>
      <c r="B306" s="16" t="s">
        <v>1757</v>
      </c>
      <c r="C306" s="16" t="s">
        <v>2065</v>
      </c>
      <c r="D306" s="16">
        <v>186.28</v>
      </c>
      <c r="E306" s="16" t="s">
        <v>18</v>
      </c>
      <c r="F306" s="16"/>
    </row>
    <row r="307" spans="1:20" s="7" customFormat="1" x14ac:dyDescent="0.25">
      <c r="A307" s="10" t="s">
        <v>2070</v>
      </c>
      <c r="B307" s="16" t="s">
        <v>2071</v>
      </c>
      <c r="C307" s="16" t="s">
        <v>2072</v>
      </c>
      <c r="D307" s="16">
        <v>161.09</v>
      </c>
      <c r="E307" s="16" t="s">
        <v>18</v>
      </c>
      <c r="F307" s="16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spans="1:20" x14ac:dyDescent="0.25">
      <c r="A308" s="10" t="s">
        <v>2073</v>
      </c>
      <c r="B308" s="16" t="s">
        <v>2074</v>
      </c>
      <c r="C308" s="16" t="s">
        <v>2075</v>
      </c>
      <c r="D308" s="16">
        <v>207.1</v>
      </c>
      <c r="E308" s="16" t="s">
        <v>18</v>
      </c>
      <c r="F308" s="16"/>
    </row>
    <row r="309" spans="1:20" s="9" customFormat="1" x14ac:dyDescent="0.25">
      <c r="A309" s="10" t="s">
        <v>2078</v>
      </c>
      <c r="B309" s="16" t="s">
        <v>1457</v>
      </c>
      <c r="C309" s="16" t="s">
        <v>2079</v>
      </c>
      <c r="D309" s="16">
        <v>215.28</v>
      </c>
      <c r="E309" s="16" t="s">
        <v>18</v>
      </c>
      <c r="F309" s="16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1:20" x14ac:dyDescent="0.25">
      <c r="A310" s="10" t="s">
        <v>2080</v>
      </c>
      <c r="B310" s="16" t="s">
        <v>2081</v>
      </c>
      <c r="C310" s="16" t="s">
        <v>2082</v>
      </c>
      <c r="D310" s="16">
        <v>186.28</v>
      </c>
      <c r="E310" s="16" t="s">
        <v>18</v>
      </c>
      <c r="F310" s="16"/>
    </row>
    <row r="311" spans="1:20" s="16" customFormat="1" ht="15.75" x14ac:dyDescent="0.25">
      <c r="A311" s="10" t="s">
        <v>2083</v>
      </c>
      <c r="B311" s="16" t="s">
        <v>1273</v>
      </c>
      <c r="C311" s="16" t="s">
        <v>2084</v>
      </c>
      <c r="D311" s="16">
        <v>185.27</v>
      </c>
      <c r="E311" s="16" t="s">
        <v>18</v>
      </c>
      <c r="F311" s="17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1:20" s="7" customFormat="1" x14ac:dyDescent="0.25">
      <c r="A312" s="10" t="s">
        <v>2085</v>
      </c>
      <c r="B312" s="16" t="s">
        <v>2086</v>
      </c>
      <c r="C312" s="16" t="s">
        <v>2087</v>
      </c>
      <c r="D312" s="16">
        <v>215.28</v>
      </c>
      <c r="E312" s="16" t="s">
        <v>18</v>
      </c>
      <c r="F312" s="16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spans="1:20" s="16" customFormat="1" x14ac:dyDescent="0.25">
      <c r="A313" s="10" t="s">
        <v>2088</v>
      </c>
      <c r="B313" s="16" t="s">
        <v>1273</v>
      </c>
      <c r="C313" s="16" t="s">
        <v>2089</v>
      </c>
      <c r="D313" s="16">
        <v>185.27</v>
      </c>
      <c r="E313" s="16" t="s">
        <v>18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1:20" s="7" customFormat="1" x14ac:dyDescent="0.25">
      <c r="A314" s="10" t="s">
        <v>2090</v>
      </c>
      <c r="B314" s="16" t="s">
        <v>2091</v>
      </c>
      <c r="C314" s="16" t="s">
        <v>2092</v>
      </c>
      <c r="D314" s="16">
        <v>186.28</v>
      </c>
      <c r="E314" s="16" t="s">
        <v>18</v>
      </c>
      <c r="F314" s="16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spans="1:20" s="16" customFormat="1" x14ac:dyDescent="0.25">
      <c r="A315" s="8" t="s">
        <v>2093</v>
      </c>
      <c r="B315" s="9" t="s">
        <v>1757</v>
      </c>
      <c r="C315" s="9" t="s">
        <v>2094</v>
      </c>
      <c r="D315" s="9">
        <v>186.28</v>
      </c>
      <c r="E315" s="9" t="s">
        <v>18</v>
      </c>
      <c r="F315" s="9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1:20" s="16" customFormat="1" x14ac:dyDescent="0.25">
      <c r="A316" s="10" t="s">
        <v>2097</v>
      </c>
      <c r="B316" s="16" t="s">
        <v>2098</v>
      </c>
      <c r="C316" s="16" t="s">
        <v>2099</v>
      </c>
      <c r="D316" s="16">
        <v>133.1</v>
      </c>
      <c r="E316" s="16" t="s">
        <v>18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1:20" s="16" customFormat="1" x14ac:dyDescent="0.25">
      <c r="A317" s="10" t="s">
        <v>2100</v>
      </c>
      <c r="B317" s="16" t="s">
        <v>214</v>
      </c>
      <c r="C317" s="16" t="s">
        <v>2101</v>
      </c>
      <c r="D317" s="16">
        <v>103.09699999999999</v>
      </c>
      <c r="E317" s="16" t="s">
        <v>18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1:20" s="16" customFormat="1" x14ac:dyDescent="0.25">
      <c r="A318" s="8" t="s">
        <v>2109</v>
      </c>
      <c r="B318" s="9" t="s">
        <v>1273</v>
      </c>
      <c r="C318" s="9" t="s">
        <v>2110</v>
      </c>
      <c r="D318" s="9">
        <v>185.27</v>
      </c>
      <c r="E318" s="9" t="s">
        <v>18</v>
      </c>
      <c r="F318" s="9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1:20" x14ac:dyDescent="0.25">
      <c r="A319" s="8" t="s">
        <v>2124</v>
      </c>
      <c r="B319" s="9" t="s">
        <v>2125</v>
      </c>
      <c r="C319" s="9" t="s">
        <v>2126</v>
      </c>
      <c r="D319" s="9">
        <v>91.0428</v>
      </c>
      <c r="E319" s="9" t="s">
        <v>18</v>
      </c>
      <c r="F319" s="9"/>
    </row>
    <row r="320" spans="1:20" x14ac:dyDescent="0.25">
      <c r="A320" s="10" t="s">
        <v>2194</v>
      </c>
      <c r="B320" s="16" t="s">
        <v>1273</v>
      </c>
      <c r="C320" s="16" t="s">
        <v>2195</v>
      </c>
      <c r="D320" s="16">
        <v>185.27</v>
      </c>
      <c r="E320" s="16" t="s">
        <v>18</v>
      </c>
      <c r="F320" s="16"/>
    </row>
    <row r="321" spans="1:20" s="7" customFormat="1" x14ac:dyDescent="0.25">
      <c r="A321" s="10" t="s">
        <v>2196</v>
      </c>
      <c r="B321" s="16" t="s">
        <v>1457</v>
      </c>
      <c r="C321" s="16" t="s">
        <v>2197</v>
      </c>
      <c r="D321" s="16">
        <v>215.28</v>
      </c>
      <c r="E321" s="16" t="s">
        <v>18</v>
      </c>
      <c r="F321" s="16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spans="1:20" x14ac:dyDescent="0.25">
      <c r="A322" s="10" t="s">
        <v>2198</v>
      </c>
      <c r="B322" s="16" t="s">
        <v>2199</v>
      </c>
      <c r="C322" s="16" t="s">
        <v>2200</v>
      </c>
      <c r="D322" s="16">
        <v>215.28</v>
      </c>
      <c r="E322" s="16" t="s">
        <v>18</v>
      </c>
      <c r="F322" s="16"/>
    </row>
    <row r="323" spans="1:20" s="7" customFormat="1" x14ac:dyDescent="0.25">
      <c r="A323" s="8" t="s">
        <v>2203</v>
      </c>
      <c r="B323" s="9" t="s">
        <v>1273</v>
      </c>
      <c r="C323" s="9" t="s">
        <v>2204</v>
      </c>
      <c r="D323" s="9">
        <v>185.27</v>
      </c>
      <c r="E323" s="9" t="s">
        <v>18</v>
      </c>
      <c r="F323" s="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spans="1:20" x14ac:dyDescent="0.25">
      <c r="A324" s="8" t="s">
        <v>2209</v>
      </c>
      <c r="B324" s="9" t="s">
        <v>1457</v>
      </c>
      <c r="C324" s="9" t="s">
        <v>2210</v>
      </c>
      <c r="D324" s="9">
        <v>215.28</v>
      </c>
      <c r="E324" s="9" t="s">
        <v>18</v>
      </c>
      <c r="F324" s="9"/>
    </row>
    <row r="325" spans="1:20" x14ac:dyDescent="0.25">
      <c r="A325" s="8" t="s">
        <v>2224</v>
      </c>
      <c r="B325" s="9" t="s">
        <v>2044</v>
      </c>
      <c r="C325" s="9"/>
      <c r="D325" s="9">
        <v>105.07</v>
      </c>
      <c r="E325" s="9" t="s">
        <v>18</v>
      </c>
      <c r="F325" s="9"/>
    </row>
    <row r="326" spans="1:20" x14ac:dyDescent="0.25">
      <c r="A326" s="8" t="s">
        <v>2225</v>
      </c>
      <c r="B326" s="9" t="s">
        <v>2226</v>
      </c>
      <c r="C326" s="9" t="s">
        <v>2227</v>
      </c>
      <c r="D326" s="9">
        <v>151.07</v>
      </c>
      <c r="E326" s="9" t="s">
        <v>18</v>
      </c>
      <c r="F326" s="9"/>
    </row>
    <row r="327" spans="1:20" x14ac:dyDescent="0.25">
      <c r="A327" s="8" t="s">
        <v>2241</v>
      </c>
      <c r="B327" s="9" t="s">
        <v>1757</v>
      </c>
      <c r="C327" s="9" t="s">
        <v>2242</v>
      </c>
      <c r="D327" s="9">
        <v>186.28</v>
      </c>
      <c r="E327" s="9" t="s">
        <v>18</v>
      </c>
      <c r="F327" s="9"/>
    </row>
    <row r="328" spans="1:20" s="16" customFormat="1" x14ac:dyDescent="0.25">
      <c r="A328" s="8" t="s">
        <v>2248</v>
      </c>
      <c r="B328" s="9" t="s">
        <v>2249</v>
      </c>
      <c r="C328" s="9" t="s">
        <v>2250</v>
      </c>
      <c r="D328" s="9">
        <v>137.04830000000001</v>
      </c>
      <c r="E328" s="9" t="s">
        <v>18</v>
      </c>
      <c r="F328" s="9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1:20" s="7" customFormat="1" x14ac:dyDescent="0.25">
      <c r="A329" s="10" t="s">
        <v>2251</v>
      </c>
      <c r="B329" s="16" t="s">
        <v>1457</v>
      </c>
      <c r="C329" s="16" t="s">
        <v>2230</v>
      </c>
      <c r="D329" s="16">
        <v>215.28</v>
      </c>
      <c r="E329" s="16" t="s">
        <v>18</v>
      </c>
      <c r="F329" s="16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spans="1:20" x14ac:dyDescent="0.25">
      <c r="A330" s="8" t="s">
        <v>2254</v>
      </c>
      <c r="B330" s="9" t="s">
        <v>1273</v>
      </c>
      <c r="C330" s="9" t="s">
        <v>2255</v>
      </c>
      <c r="D330" s="9">
        <v>185.27</v>
      </c>
      <c r="E330" s="9" t="s">
        <v>18</v>
      </c>
      <c r="F330" s="9"/>
    </row>
    <row r="331" spans="1:20" s="9" customFormat="1" x14ac:dyDescent="0.25">
      <c r="A331" s="8" t="s">
        <v>2260</v>
      </c>
      <c r="B331" s="9" t="s">
        <v>1457</v>
      </c>
      <c r="C331" s="9" t="s">
        <v>2261</v>
      </c>
      <c r="D331" s="9">
        <v>215.28</v>
      </c>
      <c r="E331" s="9" t="s">
        <v>18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1:20" s="9" customFormat="1" x14ac:dyDescent="0.25">
      <c r="A332" s="10" t="s">
        <v>2269</v>
      </c>
      <c r="B332" s="16" t="s">
        <v>2270</v>
      </c>
      <c r="C332" s="16" t="s">
        <v>2271</v>
      </c>
      <c r="D332" s="16">
        <v>161.19999999999999</v>
      </c>
      <c r="E332" s="16" t="s">
        <v>18</v>
      </c>
      <c r="F332" s="16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1:20" s="9" customFormat="1" x14ac:dyDescent="0.25">
      <c r="A333" s="10" t="s">
        <v>2272</v>
      </c>
      <c r="B333" s="16" t="s">
        <v>1840</v>
      </c>
      <c r="C333" s="16" t="s">
        <v>2273</v>
      </c>
      <c r="D333" s="16">
        <v>161.19999999999999</v>
      </c>
      <c r="E333" s="16" t="s">
        <v>18</v>
      </c>
      <c r="F333" s="16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1:20" s="9" customFormat="1" x14ac:dyDescent="0.25">
      <c r="A334" s="10" t="s">
        <v>2274</v>
      </c>
      <c r="B334" s="16" t="s">
        <v>2275</v>
      </c>
      <c r="C334" s="16" t="s">
        <v>2276</v>
      </c>
      <c r="D334" s="16">
        <v>131.19</v>
      </c>
      <c r="E334" s="16" t="s">
        <v>18</v>
      </c>
      <c r="F334" s="16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1:20" x14ac:dyDescent="0.25">
      <c r="A335" s="10" t="s">
        <v>2277</v>
      </c>
      <c r="B335" s="16" t="s">
        <v>2278</v>
      </c>
      <c r="C335" s="16" t="s">
        <v>2279</v>
      </c>
      <c r="D335" s="16">
        <v>132.19999999999999</v>
      </c>
      <c r="E335" s="16" t="s">
        <v>18</v>
      </c>
      <c r="F335" s="16"/>
    </row>
    <row r="336" spans="1:20" x14ac:dyDescent="0.25">
      <c r="A336" s="10" t="s">
        <v>2284</v>
      </c>
      <c r="B336" s="16" t="s">
        <v>1840</v>
      </c>
      <c r="C336" s="16" t="s">
        <v>2285</v>
      </c>
      <c r="D336" s="16">
        <v>203.15</v>
      </c>
      <c r="E336" s="16" t="s">
        <v>18</v>
      </c>
      <c r="F336" s="16"/>
    </row>
    <row r="337" spans="1:20" x14ac:dyDescent="0.25">
      <c r="A337" s="8" t="s">
        <v>2290</v>
      </c>
      <c r="B337" s="9" t="s">
        <v>723</v>
      </c>
      <c r="C337" s="9"/>
      <c r="D337" s="9">
        <v>147.1</v>
      </c>
      <c r="E337" s="9" t="s">
        <v>18</v>
      </c>
      <c r="F337" s="9"/>
    </row>
    <row r="338" spans="1:20" x14ac:dyDescent="0.25">
      <c r="A338" s="8" t="s">
        <v>2291</v>
      </c>
      <c r="B338" s="9" t="s">
        <v>58</v>
      </c>
      <c r="C338" s="9" t="s">
        <v>2292</v>
      </c>
      <c r="D338" s="9">
        <v>98.1</v>
      </c>
      <c r="E338" s="9" t="s">
        <v>18</v>
      </c>
      <c r="F338" s="9"/>
    </row>
    <row r="339" spans="1:20" x14ac:dyDescent="0.25">
      <c r="A339" s="8" t="s">
        <v>2293</v>
      </c>
      <c r="B339" s="9" t="s">
        <v>2018</v>
      </c>
      <c r="C339" s="9" t="s">
        <v>2294</v>
      </c>
      <c r="D339" s="9">
        <v>106.167</v>
      </c>
      <c r="E339" s="9" t="s">
        <v>18</v>
      </c>
      <c r="F339" s="9"/>
    </row>
    <row r="340" spans="1:20" x14ac:dyDescent="0.25">
      <c r="A340" s="10" t="s">
        <v>2295</v>
      </c>
      <c r="B340" s="16" t="s">
        <v>1989</v>
      </c>
      <c r="C340" s="16" t="s">
        <v>2296</v>
      </c>
      <c r="D340" s="16">
        <v>173.16</v>
      </c>
      <c r="E340" s="16" t="s">
        <v>18</v>
      </c>
      <c r="F340" s="16"/>
    </row>
    <row r="341" spans="1:20" s="9" customFormat="1" x14ac:dyDescent="0.25">
      <c r="A341" s="10" t="s">
        <v>62</v>
      </c>
      <c r="B341" s="16" t="s">
        <v>64</v>
      </c>
      <c r="C341" s="16" t="s">
        <v>63</v>
      </c>
      <c r="D341" s="16">
        <v>127</v>
      </c>
      <c r="E341" s="16" t="str">
        <f>_xlfn.XLOOKUP(A341,Sheet1!A$2:A$800,Sheet1!G$2:G$800, "")</f>
        <v>Gas</v>
      </c>
      <c r="F341" s="16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1:20" s="9" customFormat="1" x14ac:dyDescent="0.25">
      <c r="A342" s="10" t="s">
        <v>707</v>
      </c>
      <c r="B342" s="16"/>
      <c r="C342" s="16" t="s">
        <v>2138</v>
      </c>
      <c r="D342" s="16">
        <v>215</v>
      </c>
      <c r="E342" s="16" t="str">
        <f>_xlfn.XLOOKUP(A342,Sheet1!A$2:A$800,Sheet1!G$2:G$800, "")</f>
        <v>Gas</v>
      </c>
      <c r="F342" s="16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1:20" s="9" customFormat="1" x14ac:dyDescent="0.25">
      <c r="A343" s="8" t="s">
        <v>1252</v>
      </c>
      <c r="B343" s="9" t="s">
        <v>1254</v>
      </c>
      <c r="C343" s="9" t="s">
        <v>1253</v>
      </c>
      <c r="D343" s="9">
        <v>101.09</v>
      </c>
      <c r="E343" s="9" t="str">
        <f>_xlfn.XLOOKUP(A343,Sheet1!A$2:A$800,Sheet1!G$2:G$800, "")</f>
        <v>Gas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1:20" x14ac:dyDescent="0.25">
      <c r="A344" s="10" t="s">
        <v>1291</v>
      </c>
      <c r="B344" s="16" t="s">
        <v>1293</v>
      </c>
      <c r="C344" s="16" t="s">
        <v>1292</v>
      </c>
      <c r="D344" s="16">
        <v>154.19</v>
      </c>
      <c r="E344" s="7" t="str">
        <f>_xlfn.XLOOKUP(A344,Sheet1!A$2:A$800,Sheet1!G$2:G$800, "")</f>
        <v>Gas</v>
      </c>
      <c r="F344" s="16"/>
    </row>
    <row r="345" spans="1:20" x14ac:dyDescent="0.25">
      <c r="A345" s="34" t="s">
        <v>1646</v>
      </c>
      <c r="B345" s="33" t="s">
        <v>1648</v>
      </c>
      <c r="C345" s="33" t="s">
        <v>1647</v>
      </c>
      <c r="D345" s="33">
        <v>16</v>
      </c>
      <c r="E345" s="33" t="str">
        <f>_xlfn.XLOOKUP(A345,Sheet1!A$2:A$800,Sheet1!G$2:G$800, "")</f>
        <v>Gas</v>
      </c>
      <c r="F345" s="33"/>
    </row>
    <row r="346" spans="1:20" s="9" customFormat="1" x14ac:dyDescent="0.25">
      <c r="A346" s="10" t="s">
        <v>1834</v>
      </c>
      <c r="B346" s="16" t="s">
        <v>1836</v>
      </c>
      <c r="C346" s="16" t="s">
        <v>1835</v>
      </c>
      <c r="D346" s="16">
        <v>150.13</v>
      </c>
      <c r="E346" s="7" t="str">
        <f>_xlfn.XLOOKUP(A346,Sheet1!A$2:A$800,Sheet1!G$2:G$800, "")</f>
        <v>Gas</v>
      </c>
      <c r="F346" s="16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1:20" x14ac:dyDescent="0.25">
      <c r="A347" s="10" t="s">
        <v>1843</v>
      </c>
      <c r="B347" s="16" t="s">
        <v>1845</v>
      </c>
      <c r="C347" s="16" t="s">
        <v>2268</v>
      </c>
      <c r="D347" s="16">
        <v>89.13</v>
      </c>
      <c r="E347" s="7" t="str">
        <f>_xlfn.XLOOKUP(A347,Sheet1!A$2:A$800,Sheet1!G$2:G$800, "")</f>
        <v>Gas</v>
      </c>
      <c r="F347" s="16"/>
    </row>
    <row r="348" spans="1:20" s="16" customFormat="1" x14ac:dyDescent="0.25">
      <c r="A348" s="8" t="s">
        <v>2013</v>
      </c>
      <c r="B348" s="9" t="s">
        <v>2014</v>
      </c>
      <c r="C348" s="9" t="s">
        <v>1988</v>
      </c>
      <c r="D348" s="9">
        <v>187.19</v>
      </c>
      <c r="E348" t="str">
        <f>_xlfn.XLOOKUP(A348,Sheet1!A$2:A$800,Sheet1!G$2:G$800, "")</f>
        <v>Gas</v>
      </c>
      <c r="F348" s="9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</sheetData>
  <sortState xmlns:xlrd2="http://schemas.microsoft.com/office/spreadsheetml/2017/richdata2" ref="A2:F355">
    <sortCondition ref="F1:F355"/>
  </sortState>
  <conditionalFormatting sqref="K1:K1048576">
    <cfRule type="containsText" dxfId="3" priority="2" operator="containsText" text="FALSE">
      <formula>NOT(ISERROR(SEARCH("FALSE",K1)))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Haskins</cp:lastModifiedBy>
  <dcterms:created xsi:type="dcterms:W3CDTF">2022-07-01T12:45:06Z</dcterms:created>
  <dcterms:modified xsi:type="dcterms:W3CDTF">2025-07-11T09:23:51Z</dcterms:modified>
</cp:coreProperties>
</file>